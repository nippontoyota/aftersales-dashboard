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ppon\Desktop\"/>
    </mc:Choice>
  </mc:AlternateContent>
  <bookViews>
    <workbookView xWindow="0" yWindow="0" windowWidth="19200" windowHeight="8130" activeTab="1"/>
  </bookViews>
  <sheets>
    <sheet name="Sheet1" sheetId="1" r:id="rId1"/>
    <sheet name="Sheet2" sheetId="2" r:id="rId2"/>
  </sheets>
  <externalReferences>
    <externalReference r:id="rId3"/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22" i="2" l="1"/>
  <c r="AF22" i="2"/>
  <c r="AD22" i="2"/>
  <c r="AB22" i="2"/>
  <c r="Z22" i="2"/>
  <c r="X22" i="2"/>
  <c r="V22" i="2"/>
  <c r="T22" i="2"/>
  <c r="R22" i="2"/>
  <c r="P22" i="2"/>
  <c r="N22" i="2"/>
  <c r="L22" i="2"/>
  <c r="J22" i="2"/>
  <c r="H22" i="2"/>
  <c r="F22" i="2"/>
  <c r="D22" i="2"/>
  <c r="B22" i="2"/>
  <c r="AJ22" i="2" s="1"/>
  <c r="A22" i="2"/>
  <c r="AH19" i="2"/>
  <c r="AF19" i="2"/>
  <c r="AD19" i="2"/>
  <c r="AB19" i="2"/>
  <c r="Z19" i="2"/>
  <c r="X19" i="2"/>
  <c r="V19" i="2"/>
  <c r="T19" i="2"/>
  <c r="R19" i="2"/>
  <c r="P19" i="2"/>
  <c r="N19" i="2"/>
  <c r="L19" i="2"/>
  <c r="J19" i="2"/>
  <c r="H19" i="2"/>
  <c r="F19" i="2"/>
  <c r="D19" i="2"/>
  <c r="B19" i="2"/>
  <c r="AJ19" i="2" s="1"/>
  <c r="A19" i="2"/>
  <c r="AF16" i="2"/>
  <c r="AF23" i="2" s="1"/>
  <c r="AD16" i="2"/>
  <c r="AD23" i="2" s="1"/>
  <c r="P16" i="2"/>
  <c r="P23" i="2" s="1"/>
  <c r="H16" i="2"/>
  <c r="H23" i="2" s="1"/>
  <c r="F16" i="2"/>
  <c r="F23" i="2" s="1"/>
  <c r="AH15" i="2"/>
  <c r="AF15" i="2"/>
  <c r="AD15" i="2"/>
  <c r="AB15" i="2"/>
  <c r="Z15" i="2"/>
  <c r="X15" i="2"/>
  <c r="V15" i="2"/>
  <c r="T15" i="2"/>
  <c r="T16" i="2" s="1"/>
  <c r="R15" i="2"/>
  <c r="R16" i="2" s="1"/>
  <c r="P15" i="2"/>
  <c r="N15" i="2"/>
  <c r="L15" i="2"/>
  <c r="J15" i="2"/>
  <c r="H15" i="2"/>
  <c r="F15" i="2"/>
  <c r="D15" i="2"/>
  <c r="B15" i="2"/>
  <c r="AJ15" i="2" s="1"/>
  <c r="AF14" i="2"/>
  <c r="AD14" i="2"/>
  <c r="H14" i="2"/>
  <c r="F14" i="2"/>
  <c r="AF13" i="2"/>
  <c r="AD13" i="2"/>
  <c r="AB13" i="2"/>
  <c r="T13" i="2"/>
  <c r="R13" i="2"/>
  <c r="H13" i="2"/>
  <c r="F13" i="2"/>
  <c r="D13" i="2"/>
  <c r="AH12" i="2"/>
  <c r="AF12" i="2"/>
  <c r="AD12" i="2"/>
  <c r="AB12" i="2"/>
  <c r="Z12" i="2"/>
  <c r="X12" i="2"/>
  <c r="V12" i="2"/>
  <c r="T12" i="2"/>
  <c r="R12" i="2"/>
  <c r="P12" i="2"/>
  <c r="N12" i="2"/>
  <c r="L12" i="2"/>
  <c r="J12" i="2"/>
  <c r="H12" i="2"/>
  <c r="F12" i="2"/>
  <c r="D12" i="2"/>
  <c r="B12" i="2"/>
  <c r="AH11" i="2"/>
  <c r="AF11" i="2"/>
  <c r="AD11" i="2"/>
  <c r="AB11" i="2"/>
  <c r="AB14" i="2" s="1"/>
  <c r="Z11" i="2"/>
  <c r="Z14" i="2" s="1"/>
  <c r="X11" i="2"/>
  <c r="X14" i="2" s="1"/>
  <c r="V11" i="2"/>
  <c r="V14" i="2" s="1"/>
  <c r="T11" i="2"/>
  <c r="T14" i="2" s="1"/>
  <c r="R11" i="2"/>
  <c r="R14" i="2" s="1"/>
  <c r="P11" i="2"/>
  <c r="N11" i="2"/>
  <c r="L11" i="2"/>
  <c r="J11" i="2"/>
  <c r="H11" i="2"/>
  <c r="F11" i="2"/>
  <c r="D11" i="2"/>
  <c r="D14" i="2" s="1"/>
  <c r="B11" i="2"/>
  <c r="B14" i="2" s="1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AK10" i="2" s="1"/>
  <c r="L10" i="2"/>
  <c r="AJ10" i="2" s="1"/>
  <c r="K10" i="2"/>
  <c r="J10" i="2"/>
  <c r="I10" i="2"/>
  <c r="H10" i="2"/>
  <c r="G10" i="2"/>
  <c r="F10" i="2"/>
  <c r="E10" i="2"/>
  <c r="D10" i="2"/>
  <c r="C10" i="2"/>
  <c r="B10" i="2"/>
  <c r="AI9" i="2"/>
  <c r="AH9" i="2"/>
  <c r="AH16" i="2" s="1"/>
  <c r="AG9" i="2"/>
  <c r="AF9" i="2"/>
  <c r="AE9" i="2"/>
  <c r="AD9" i="2"/>
  <c r="AC9" i="2"/>
  <c r="AB9" i="2"/>
  <c r="AB16" i="2" s="1"/>
  <c r="AA9" i="2"/>
  <c r="Z9" i="2"/>
  <c r="Z16" i="2" s="1"/>
  <c r="Y9" i="2"/>
  <c r="X9" i="2"/>
  <c r="X16" i="2" s="1"/>
  <c r="W9" i="2"/>
  <c r="V9" i="2"/>
  <c r="V16" i="2" s="1"/>
  <c r="U9" i="2"/>
  <c r="T9" i="2"/>
  <c r="S9" i="2"/>
  <c r="R9" i="2"/>
  <c r="Q9" i="2"/>
  <c r="P9" i="2"/>
  <c r="O9" i="2"/>
  <c r="N9" i="2"/>
  <c r="N16" i="2" s="1"/>
  <c r="M9" i="2"/>
  <c r="AK9" i="2" s="1"/>
  <c r="L9" i="2"/>
  <c r="L16" i="2" s="1"/>
  <c r="K9" i="2"/>
  <c r="J9" i="2"/>
  <c r="J16" i="2" s="1"/>
  <c r="I9" i="2"/>
  <c r="H9" i="2"/>
  <c r="G9" i="2"/>
  <c r="F9" i="2"/>
  <c r="E9" i="2"/>
  <c r="D9" i="2"/>
  <c r="D16" i="2" s="1"/>
  <c r="C9" i="2"/>
  <c r="B9" i="2"/>
  <c r="B16" i="2" s="1"/>
  <c r="AI8" i="2"/>
  <c r="AH8" i="2"/>
  <c r="AH13" i="2" s="1"/>
  <c r="AH14" i="2" s="1"/>
  <c r="AG8" i="2"/>
  <c r="AF8" i="2"/>
  <c r="AE8" i="2"/>
  <c r="AD8" i="2"/>
  <c r="AC8" i="2"/>
  <c r="AB8" i="2"/>
  <c r="AA8" i="2"/>
  <c r="Z8" i="2"/>
  <c r="Z13" i="2" s="1"/>
  <c r="Y8" i="2"/>
  <c r="X8" i="2"/>
  <c r="X13" i="2" s="1"/>
  <c r="W8" i="2"/>
  <c r="V8" i="2"/>
  <c r="V13" i="2" s="1"/>
  <c r="U8" i="2"/>
  <c r="T8" i="2"/>
  <c r="S8" i="2"/>
  <c r="R8" i="2"/>
  <c r="Q8" i="2"/>
  <c r="P8" i="2"/>
  <c r="P13" i="2" s="1"/>
  <c r="P14" i="2" s="1"/>
  <c r="O8" i="2"/>
  <c r="N8" i="2"/>
  <c r="N13" i="2" s="1"/>
  <c r="N14" i="2" s="1"/>
  <c r="M8" i="2"/>
  <c r="AK8" i="2" s="1"/>
  <c r="L8" i="2"/>
  <c r="AJ8" i="2" s="1"/>
  <c r="AJ13" i="2" s="1"/>
  <c r="K8" i="2"/>
  <c r="J8" i="2"/>
  <c r="J13" i="2" s="1"/>
  <c r="J14" i="2" s="1"/>
  <c r="I8" i="2"/>
  <c r="H8" i="2"/>
  <c r="G8" i="2"/>
  <c r="F8" i="2"/>
  <c r="E8" i="2"/>
  <c r="D8" i="2"/>
  <c r="C8" i="2"/>
  <c r="B8" i="2"/>
  <c r="B13" i="2" s="1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AK7" i="2" s="1"/>
  <c r="L7" i="2"/>
  <c r="AJ7" i="2" s="1"/>
  <c r="K7" i="2"/>
  <c r="J7" i="2"/>
  <c r="I7" i="2"/>
  <c r="H7" i="2"/>
  <c r="G7" i="2"/>
  <c r="F7" i="2"/>
  <c r="E7" i="2"/>
  <c r="D7" i="2"/>
  <c r="C7" i="2"/>
  <c r="B7" i="2"/>
  <c r="A5" i="2"/>
  <c r="M135" i="1"/>
  <c r="L135" i="1"/>
  <c r="N135" i="1" s="1"/>
  <c r="U119" i="1"/>
  <c r="T119" i="1"/>
  <c r="S119" i="1"/>
  <c r="G119" i="1"/>
  <c r="F119" i="1"/>
  <c r="E119" i="1"/>
  <c r="S118" i="1"/>
  <c r="Q118" i="1"/>
  <c r="P118" i="1"/>
  <c r="E118" i="1"/>
  <c r="D118" i="1"/>
  <c r="P117" i="1"/>
  <c r="O117" i="1"/>
  <c r="N117" i="1"/>
  <c r="Z116" i="1"/>
  <c r="Y116" i="1"/>
  <c r="N116" i="1"/>
  <c r="M116" i="1"/>
  <c r="L116" i="1"/>
  <c r="Z114" i="1"/>
  <c r="Y114" i="1"/>
  <c r="X114" i="1"/>
  <c r="W114" i="1"/>
  <c r="V114" i="1"/>
  <c r="U114" i="1"/>
  <c r="T114" i="1"/>
  <c r="S114" i="1"/>
  <c r="P114" i="1"/>
  <c r="N114" i="1"/>
  <c r="M114" i="1"/>
  <c r="K114" i="1"/>
  <c r="I114" i="1"/>
  <c r="H114" i="1"/>
  <c r="G114" i="1"/>
  <c r="E114" i="1"/>
  <c r="D114" i="1"/>
  <c r="Y113" i="1"/>
  <c r="X113" i="1"/>
  <c r="W113" i="1"/>
  <c r="V113" i="1"/>
  <c r="U113" i="1"/>
  <c r="T113" i="1"/>
  <c r="S113" i="1"/>
  <c r="Q113" i="1"/>
  <c r="P113" i="1"/>
  <c r="O113" i="1"/>
  <c r="N113" i="1"/>
  <c r="M113" i="1"/>
  <c r="L113" i="1"/>
  <c r="K113" i="1"/>
  <c r="H113" i="1"/>
  <c r="G113" i="1"/>
  <c r="F113" i="1"/>
  <c r="E113" i="1"/>
  <c r="D113" i="1"/>
  <c r="Y112" i="1"/>
  <c r="X112" i="1"/>
  <c r="W112" i="1"/>
  <c r="V112" i="1"/>
  <c r="U112" i="1"/>
  <c r="T112" i="1"/>
  <c r="S112" i="1"/>
  <c r="Q112" i="1"/>
  <c r="P112" i="1"/>
  <c r="O112" i="1"/>
  <c r="N112" i="1"/>
  <c r="M112" i="1"/>
  <c r="L112" i="1"/>
  <c r="K112" i="1"/>
  <c r="H112" i="1"/>
  <c r="G112" i="1"/>
  <c r="F112" i="1"/>
  <c r="E112" i="1"/>
  <c r="D112" i="1"/>
  <c r="Z111" i="1"/>
  <c r="Y111" i="1"/>
  <c r="X111" i="1"/>
  <c r="W111" i="1"/>
  <c r="V111" i="1"/>
  <c r="U111" i="1"/>
  <c r="T111" i="1"/>
  <c r="S111" i="1"/>
  <c r="P111" i="1"/>
  <c r="O111" i="1"/>
  <c r="N111" i="1"/>
  <c r="M111" i="1"/>
  <c r="L111" i="1"/>
  <c r="K111" i="1"/>
  <c r="H111" i="1"/>
  <c r="G111" i="1"/>
  <c r="F111" i="1"/>
  <c r="E111" i="1"/>
  <c r="D111" i="1"/>
  <c r="E110" i="1"/>
  <c r="Y109" i="1"/>
  <c r="X109" i="1"/>
  <c r="W109" i="1"/>
  <c r="V109" i="1"/>
  <c r="U109" i="1"/>
  <c r="T109" i="1"/>
  <c r="S109" i="1"/>
  <c r="P109" i="1"/>
  <c r="O109" i="1"/>
  <c r="N109" i="1"/>
  <c r="M109" i="1"/>
  <c r="L109" i="1"/>
  <c r="K109" i="1"/>
  <c r="H109" i="1"/>
  <c r="G109" i="1"/>
  <c r="F109" i="1"/>
  <c r="E109" i="1"/>
  <c r="D109" i="1"/>
  <c r="Y108" i="1"/>
  <c r="X108" i="1"/>
  <c r="W108" i="1"/>
  <c r="V108" i="1"/>
  <c r="U108" i="1"/>
  <c r="T108" i="1"/>
  <c r="S108" i="1"/>
  <c r="P108" i="1"/>
  <c r="O108" i="1"/>
  <c r="N108" i="1"/>
  <c r="M108" i="1"/>
  <c r="L108" i="1"/>
  <c r="K108" i="1"/>
  <c r="I108" i="1"/>
  <c r="H108" i="1"/>
  <c r="G108" i="1"/>
  <c r="F108" i="1"/>
  <c r="E108" i="1"/>
  <c r="D108" i="1"/>
  <c r="Z107" i="1"/>
  <c r="Y107" i="1"/>
  <c r="X107" i="1"/>
  <c r="W107" i="1"/>
  <c r="V107" i="1"/>
  <c r="U107" i="1"/>
  <c r="T107" i="1"/>
  <c r="S107" i="1"/>
  <c r="P107" i="1"/>
  <c r="N107" i="1"/>
  <c r="M107" i="1"/>
  <c r="K107" i="1"/>
  <c r="H107" i="1"/>
  <c r="G107" i="1"/>
  <c r="E107" i="1"/>
  <c r="D107" i="1"/>
  <c r="Y106" i="1"/>
  <c r="X106" i="1"/>
  <c r="W106" i="1"/>
  <c r="V106" i="1"/>
  <c r="U106" i="1"/>
  <c r="T106" i="1"/>
  <c r="S106" i="1"/>
  <c r="Q106" i="1"/>
  <c r="P106" i="1"/>
  <c r="N106" i="1"/>
  <c r="M106" i="1"/>
  <c r="K106" i="1"/>
  <c r="H106" i="1"/>
  <c r="G106" i="1"/>
  <c r="E106" i="1"/>
  <c r="D106" i="1"/>
  <c r="AE105" i="1"/>
  <c r="AF105" i="1" s="1"/>
  <c r="AE104" i="1"/>
  <c r="Z104" i="1"/>
  <c r="AB104" i="1" s="1"/>
  <c r="Q104" i="1"/>
  <c r="I104" i="1"/>
  <c r="Z103" i="1"/>
  <c r="Q103" i="1"/>
  <c r="I103" i="1"/>
  <c r="AB103" i="1" s="1"/>
  <c r="AE102" i="1"/>
  <c r="Z102" i="1"/>
  <c r="Q102" i="1"/>
  <c r="AB102" i="1" s="1"/>
  <c r="I102" i="1"/>
  <c r="Z101" i="1"/>
  <c r="Q101" i="1"/>
  <c r="I101" i="1"/>
  <c r="AB101" i="1" s="1"/>
  <c r="AE100" i="1"/>
  <c r="Z100" i="1"/>
  <c r="Q100" i="1"/>
  <c r="I100" i="1"/>
  <c r="AB100" i="1" s="1"/>
  <c r="Z99" i="1"/>
  <c r="Q99" i="1"/>
  <c r="I99" i="1"/>
  <c r="AB99" i="1" s="1"/>
  <c r="Z98" i="1"/>
  <c r="Q98" i="1"/>
  <c r="I98" i="1"/>
  <c r="AB98" i="1" s="1"/>
  <c r="AB97" i="1"/>
  <c r="Z97" i="1"/>
  <c r="Q97" i="1"/>
  <c r="I97" i="1"/>
  <c r="Z96" i="1"/>
  <c r="Q96" i="1"/>
  <c r="I96" i="1"/>
  <c r="AB96" i="1" s="1"/>
  <c r="AE95" i="1"/>
  <c r="AF95" i="1" s="1"/>
  <c r="Z95" i="1"/>
  <c r="Q95" i="1"/>
  <c r="AB95" i="1" s="1"/>
  <c r="I95" i="1"/>
  <c r="Z94" i="1"/>
  <c r="Q94" i="1"/>
  <c r="I94" i="1"/>
  <c r="AB94" i="1" s="1"/>
  <c r="Z93" i="1"/>
  <c r="Q93" i="1"/>
  <c r="AB93" i="1" s="1"/>
  <c r="AE92" i="1"/>
  <c r="Z92" i="1"/>
  <c r="Z119" i="1" s="1"/>
  <c r="Q92" i="1"/>
  <c r="Q119" i="1" s="1"/>
  <c r="I92" i="1"/>
  <c r="AB92" i="1" s="1"/>
  <c r="Z91" i="1"/>
  <c r="Q91" i="1"/>
  <c r="I91" i="1"/>
  <c r="AB91" i="1" s="1"/>
  <c r="AE90" i="1"/>
  <c r="AB90" i="1"/>
  <c r="AI84" i="1" s="1"/>
  <c r="Z90" i="1"/>
  <c r="Q90" i="1"/>
  <c r="I90" i="1"/>
  <c r="AE94" i="1" s="1"/>
  <c r="Z89" i="1"/>
  <c r="Z113" i="1" s="1"/>
  <c r="Q89" i="1"/>
  <c r="AE103" i="1" s="1"/>
  <c r="AF103" i="1" s="1"/>
  <c r="I89" i="1"/>
  <c r="AE93" i="1" s="1"/>
  <c r="AF93" i="1" s="1"/>
  <c r="Z88" i="1"/>
  <c r="AB88" i="1" s="1"/>
  <c r="Q88" i="1"/>
  <c r="I88" i="1"/>
  <c r="Z87" i="1"/>
  <c r="Q87" i="1"/>
  <c r="I87" i="1"/>
  <c r="AB87" i="1" s="1"/>
  <c r="AI82" i="1" s="1"/>
  <c r="Z86" i="1"/>
  <c r="Z117" i="1" s="1"/>
  <c r="Q86" i="1"/>
  <c r="AE101" i="1" s="1"/>
  <c r="AF101" i="1" s="1"/>
  <c r="I86" i="1"/>
  <c r="I117" i="1" s="1"/>
  <c r="AE85" i="1"/>
  <c r="Z85" i="1"/>
  <c r="Q85" i="1"/>
  <c r="I85" i="1"/>
  <c r="AB85" i="1" s="1"/>
  <c r="AE84" i="1"/>
  <c r="Z84" i="1"/>
  <c r="Q84" i="1"/>
  <c r="I84" i="1"/>
  <c r="AB84" i="1" s="1"/>
  <c r="AI80" i="1" s="1"/>
  <c r="AE83" i="1"/>
  <c r="AF83" i="1" s="1"/>
  <c r="Z83" i="1"/>
  <c r="Q83" i="1"/>
  <c r="AE99" i="1" s="1"/>
  <c r="I83" i="1"/>
  <c r="AB83" i="1" s="1"/>
  <c r="AE82" i="1"/>
  <c r="Z82" i="1"/>
  <c r="Q82" i="1"/>
  <c r="I82" i="1"/>
  <c r="AB82" i="1" s="1"/>
  <c r="Z81" i="1"/>
  <c r="AE78" i="1" s="1"/>
  <c r="Q81" i="1"/>
  <c r="AE98" i="1" s="1"/>
  <c r="I81" i="1"/>
  <c r="AB81" i="1" s="1"/>
  <c r="AE80" i="1"/>
  <c r="Z80" i="1"/>
  <c r="Q80" i="1"/>
  <c r="I80" i="1"/>
  <c r="AB80" i="1" s="1"/>
  <c r="AE79" i="1"/>
  <c r="AF79" i="1" s="1"/>
  <c r="Z79" i="1"/>
  <c r="Q79" i="1"/>
  <c r="I79" i="1"/>
  <c r="AB79" i="1" s="1"/>
  <c r="A77" i="1"/>
  <c r="AN76" i="1"/>
  <c r="D119" i="1" s="1"/>
  <c r="AD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N76" i="1"/>
  <c r="M76" i="1"/>
  <c r="K76" i="1"/>
  <c r="J76" i="1"/>
  <c r="I76" i="1"/>
  <c r="H76" i="1"/>
  <c r="G76" i="1"/>
  <c r="E76" i="1"/>
  <c r="D76" i="1"/>
  <c r="AN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N75" i="1"/>
  <c r="M75" i="1"/>
  <c r="K75" i="1"/>
  <c r="J75" i="1"/>
  <c r="I75" i="1"/>
  <c r="H75" i="1"/>
  <c r="G75" i="1"/>
  <c r="E75" i="1"/>
  <c r="D75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N73" i="1"/>
  <c r="M73" i="1"/>
  <c r="K73" i="1"/>
  <c r="J73" i="1"/>
  <c r="I73" i="1"/>
  <c r="H73" i="1"/>
  <c r="G73" i="1"/>
  <c r="E73" i="1"/>
  <c r="D73" i="1"/>
  <c r="Z70" i="1"/>
  <c r="Q70" i="1"/>
  <c r="I70" i="1"/>
  <c r="AB70" i="1" s="1"/>
  <c r="Z69" i="1"/>
  <c r="Q69" i="1"/>
  <c r="AB69" i="1" s="1"/>
  <c r="I69" i="1"/>
  <c r="Z68" i="1"/>
  <c r="Q68" i="1"/>
  <c r="AB68" i="1" s="1"/>
  <c r="I68" i="1"/>
  <c r="Z67" i="1"/>
  <c r="Q67" i="1"/>
  <c r="I67" i="1"/>
  <c r="AB67" i="1" s="1"/>
  <c r="Z66" i="1"/>
  <c r="Q66" i="1"/>
  <c r="AB66" i="1" s="1"/>
  <c r="I66" i="1"/>
  <c r="Z65" i="1"/>
  <c r="Q65" i="1"/>
  <c r="AB65" i="1" s="1"/>
  <c r="I65" i="1"/>
  <c r="Z63" i="1"/>
  <c r="Q63" i="1"/>
  <c r="I63" i="1"/>
  <c r="AB63" i="1" s="1"/>
  <c r="AB62" i="1"/>
  <c r="Z62" i="1"/>
  <c r="Q62" i="1"/>
  <c r="I62" i="1"/>
  <c r="Z61" i="1"/>
  <c r="Q61" i="1"/>
  <c r="I61" i="1"/>
  <c r="AB61" i="1" s="1"/>
  <c r="AB60" i="1"/>
  <c r="Z60" i="1"/>
  <c r="Q60" i="1"/>
  <c r="I60" i="1"/>
  <c r="Z59" i="1"/>
  <c r="Q59" i="1"/>
  <c r="I59" i="1"/>
  <c r="AB59" i="1" s="1"/>
  <c r="Z58" i="1"/>
  <c r="Q58" i="1"/>
  <c r="I58" i="1"/>
  <c r="AB58" i="1" s="1"/>
  <c r="AB57" i="1"/>
  <c r="Z57" i="1"/>
  <c r="Q57" i="1"/>
  <c r="I57" i="1"/>
  <c r="Z56" i="1"/>
  <c r="Q56" i="1"/>
  <c r="I56" i="1"/>
  <c r="AB56" i="1" s="1"/>
  <c r="Z55" i="1"/>
  <c r="Q55" i="1"/>
  <c r="I55" i="1"/>
  <c r="AB55" i="1" s="1"/>
  <c r="AB54" i="1"/>
  <c r="Z54" i="1"/>
  <c r="Q54" i="1"/>
  <c r="I54" i="1"/>
  <c r="Z53" i="1"/>
  <c r="Q53" i="1"/>
  <c r="I53" i="1"/>
  <c r="AB53" i="1" s="1"/>
  <c r="Z52" i="1"/>
  <c r="Y52" i="1"/>
  <c r="X52" i="1"/>
  <c r="W52" i="1"/>
  <c r="V52" i="1"/>
  <c r="U52" i="1"/>
  <c r="T52" i="1"/>
  <c r="S52" i="1"/>
  <c r="P52" i="1"/>
  <c r="O52" i="1"/>
  <c r="N52" i="1"/>
  <c r="M52" i="1"/>
  <c r="L52" i="1"/>
  <c r="K52" i="1"/>
  <c r="I52" i="1"/>
  <c r="H52" i="1"/>
  <c r="G52" i="1"/>
  <c r="F52" i="1"/>
  <c r="E52" i="1"/>
  <c r="D52" i="1"/>
  <c r="Z51" i="1"/>
  <c r="Q51" i="1"/>
  <c r="Q52" i="1" s="1"/>
  <c r="I51" i="1"/>
  <c r="AB51" i="1" s="1"/>
  <c r="Z50" i="1"/>
  <c r="Q50" i="1"/>
  <c r="I50" i="1"/>
  <c r="Y49" i="1"/>
  <c r="X49" i="1"/>
  <c r="W49" i="1"/>
  <c r="V49" i="1"/>
  <c r="U49" i="1"/>
  <c r="T49" i="1"/>
  <c r="S49" i="1"/>
  <c r="Q49" i="1"/>
  <c r="P49" i="1"/>
  <c r="O49" i="1"/>
  <c r="N49" i="1"/>
  <c r="M49" i="1"/>
  <c r="L49" i="1"/>
  <c r="K49" i="1"/>
  <c r="H49" i="1"/>
  <c r="G49" i="1"/>
  <c r="F49" i="1"/>
  <c r="E49" i="1"/>
  <c r="D49" i="1"/>
  <c r="AB48" i="1"/>
  <c r="AB49" i="1" s="1"/>
  <c r="Z48" i="1"/>
  <c r="Q48" i="1"/>
  <c r="I48" i="1"/>
  <c r="Z47" i="1"/>
  <c r="Q47" i="1"/>
  <c r="I47" i="1"/>
  <c r="AB47" i="1" s="1"/>
  <c r="Y46" i="1"/>
  <c r="X46" i="1"/>
  <c r="W46" i="1"/>
  <c r="V46" i="1"/>
  <c r="U46" i="1"/>
  <c r="T46" i="1"/>
  <c r="S46" i="1"/>
  <c r="P46" i="1"/>
  <c r="O46" i="1"/>
  <c r="N46" i="1"/>
  <c r="M46" i="1"/>
  <c r="L46" i="1"/>
  <c r="K46" i="1"/>
  <c r="I46" i="1"/>
  <c r="H46" i="1"/>
  <c r="G46" i="1"/>
  <c r="F46" i="1"/>
  <c r="E46" i="1"/>
  <c r="D46" i="1"/>
  <c r="Z45" i="1"/>
  <c r="Q45" i="1"/>
  <c r="Q46" i="1" s="1"/>
  <c r="I45" i="1"/>
  <c r="AB45" i="1" s="1"/>
  <c r="Z44" i="1"/>
  <c r="Q44" i="1"/>
  <c r="AB44" i="1" s="1"/>
  <c r="I44" i="1"/>
  <c r="AA43" i="1"/>
  <c r="Y43" i="1"/>
  <c r="X43" i="1"/>
  <c r="W43" i="1"/>
  <c r="V43" i="1"/>
  <c r="U43" i="1"/>
  <c r="T43" i="1"/>
  <c r="S43" i="1"/>
  <c r="R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Z42" i="1"/>
  <c r="Z43" i="1" s="1"/>
  <c r="Q42" i="1"/>
  <c r="Q43" i="1" s="1"/>
  <c r="I42" i="1"/>
  <c r="AB42" i="1" s="1"/>
  <c r="AB43" i="1" s="1"/>
  <c r="Z41" i="1"/>
  <c r="Q41" i="1"/>
  <c r="I41" i="1"/>
  <c r="AB41" i="1" s="1"/>
  <c r="AB39" i="1"/>
  <c r="Z39" i="1"/>
  <c r="Q39" i="1"/>
  <c r="I39" i="1"/>
  <c r="Z38" i="1"/>
  <c r="Q38" i="1"/>
  <c r="I38" i="1"/>
  <c r="AB38" i="1" s="1"/>
  <c r="Z36" i="1"/>
  <c r="Q36" i="1"/>
  <c r="I36" i="1"/>
  <c r="AB36" i="1" s="1"/>
  <c r="Z35" i="1"/>
  <c r="AB35" i="1" s="1"/>
  <c r="Q35" i="1"/>
  <c r="I35" i="1"/>
  <c r="Z33" i="1"/>
  <c r="Q33" i="1"/>
  <c r="I33" i="1"/>
  <c r="AB33" i="1" s="1"/>
  <c r="Z32" i="1"/>
  <c r="Q32" i="1"/>
  <c r="I32" i="1"/>
  <c r="AB32" i="1" s="1"/>
  <c r="Z30" i="1"/>
  <c r="AB30" i="1" s="1"/>
  <c r="Q30" i="1"/>
  <c r="I30" i="1"/>
  <c r="Z29" i="1"/>
  <c r="Q29" i="1"/>
  <c r="I29" i="1"/>
  <c r="AB29" i="1" s="1"/>
  <c r="Z27" i="1"/>
  <c r="Q27" i="1"/>
  <c r="I27" i="1"/>
  <c r="AB27" i="1" s="1"/>
  <c r="Z26" i="1"/>
  <c r="AB26" i="1" s="1"/>
  <c r="Q26" i="1"/>
  <c r="I26" i="1"/>
  <c r="Y25" i="1"/>
  <c r="X25" i="1"/>
  <c r="W25" i="1"/>
  <c r="V25" i="1"/>
  <c r="U25" i="1"/>
  <c r="T25" i="1"/>
  <c r="S25" i="1"/>
  <c r="Q25" i="1"/>
  <c r="P25" i="1"/>
  <c r="N25" i="1"/>
  <c r="M25" i="1"/>
  <c r="K25" i="1"/>
  <c r="H25" i="1"/>
  <c r="G25" i="1"/>
  <c r="F25" i="1"/>
  <c r="E25" i="1"/>
  <c r="D25" i="1"/>
  <c r="V24" i="1"/>
  <c r="N24" i="1"/>
  <c r="M24" i="1"/>
  <c r="K24" i="1"/>
  <c r="Z23" i="1"/>
  <c r="Z25" i="1" s="1"/>
  <c r="Q23" i="1"/>
  <c r="Q24" i="1" s="1"/>
  <c r="I23" i="1"/>
  <c r="AB22" i="1"/>
  <c r="AA22" i="1"/>
  <c r="Y22" i="1"/>
  <c r="Y24" i="1" s="1"/>
  <c r="X22" i="1"/>
  <c r="X24" i="1" s="1"/>
  <c r="W22" i="1"/>
  <c r="W24" i="1" s="1"/>
  <c r="V22" i="1"/>
  <c r="U22" i="1"/>
  <c r="U24" i="1" s="1"/>
  <c r="T22" i="1"/>
  <c r="T24" i="1" s="1"/>
  <c r="S22" i="1"/>
  <c r="S24" i="1" s="1"/>
  <c r="R22" i="1"/>
  <c r="Q22" i="1"/>
  <c r="P22" i="1"/>
  <c r="P24" i="1" s="1"/>
  <c r="O22" i="1"/>
  <c r="N22" i="1"/>
  <c r="M22" i="1"/>
  <c r="L22" i="1"/>
  <c r="K22" i="1"/>
  <c r="J22" i="1"/>
  <c r="H22" i="1"/>
  <c r="H24" i="1" s="1"/>
  <c r="G22" i="1"/>
  <c r="G24" i="1" s="1"/>
  <c r="F22" i="1"/>
  <c r="F24" i="1" s="1"/>
  <c r="E22" i="1"/>
  <c r="E24" i="1" s="1"/>
  <c r="D22" i="1"/>
  <c r="D24" i="1" s="1"/>
  <c r="W20" i="1"/>
  <c r="V20" i="1"/>
  <c r="U20" i="1"/>
  <c r="T20" i="1"/>
  <c r="S20" i="1"/>
  <c r="P20" i="1"/>
  <c r="O20" i="1"/>
  <c r="N20" i="1"/>
  <c r="H20" i="1"/>
  <c r="G20" i="1"/>
  <c r="F20" i="1"/>
  <c r="E20" i="1"/>
  <c r="D20" i="1"/>
  <c r="Z19" i="1"/>
  <c r="Q19" i="1"/>
  <c r="AB19" i="1" s="1"/>
  <c r="I19" i="1"/>
  <c r="W18" i="1"/>
  <c r="V18" i="1"/>
  <c r="U18" i="1"/>
  <c r="T18" i="1"/>
  <c r="S18" i="1"/>
  <c r="H18" i="1"/>
  <c r="G18" i="1"/>
  <c r="F18" i="1"/>
  <c r="E18" i="1"/>
  <c r="D18" i="1"/>
  <c r="Z17" i="1"/>
  <c r="Q17" i="1"/>
  <c r="I17" i="1"/>
  <c r="AB17" i="1" s="1"/>
  <c r="AA16" i="1"/>
  <c r="W16" i="1"/>
  <c r="V16" i="1"/>
  <c r="R16" i="1"/>
  <c r="J16" i="1"/>
  <c r="Y15" i="1"/>
  <c r="X15" i="1"/>
  <c r="W15" i="1"/>
  <c r="V15" i="1"/>
  <c r="U15" i="1"/>
  <c r="U16" i="1" s="1"/>
  <c r="T15" i="1"/>
  <c r="T16" i="1" s="1"/>
  <c r="S15" i="1"/>
  <c r="S16" i="1" s="1"/>
  <c r="P15" i="1"/>
  <c r="P18" i="1" s="1"/>
  <c r="O15" i="1"/>
  <c r="O18" i="1" s="1"/>
  <c r="N15" i="1"/>
  <c r="N18" i="1" s="1"/>
  <c r="M15" i="1"/>
  <c r="M20" i="1" s="1"/>
  <c r="L15" i="1"/>
  <c r="K15" i="1"/>
  <c r="K16" i="1" s="1"/>
  <c r="H15" i="1"/>
  <c r="H16" i="1" s="1"/>
  <c r="G15" i="1"/>
  <c r="G16" i="1" s="1"/>
  <c r="F15" i="1"/>
  <c r="F16" i="1" s="1"/>
  <c r="E15" i="1"/>
  <c r="E16" i="1" s="1"/>
  <c r="D15" i="1"/>
  <c r="I15" i="1" s="1"/>
  <c r="Z14" i="1"/>
  <c r="Y14" i="1"/>
  <c r="X14" i="1"/>
  <c r="W14" i="1"/>
  <c r="V14" i="1"/>
  <c r="U14" i="1"/>
  <c r="T14" i="1"/>
  <c r="S14" i="1"/>
  <c r="P14" i="1"/>
  <c r="O14" i="1"/>
  <c r="N14" i="1"/>
  <c r="M14" i="1"/>
  <c r="L14" i="1"/>
  <c r="K14" i="1"/>
  <c r="I14" i="1"/>
  <c r="H14" i="1"/>
  <c r="G14" i="1"/>
  <c r="F14" i="1"/>
  <c r="E14" i="1"/>
  <c r="D14" i="1"/>
  <c r="Z13" i="1"/>
  <c r="Q13" i="1"/>
  <c r="Q14" i="1" s="1"/>
  <c r="I13" i="1"/>
  <c r="AB13" i="1" s="1"/>
  <c r="Z11" i="1"/>
  <c r="Z109" i="1" s="1"/>
  <c r="Q11" i="1"/>
  <c r="I11" i="1"/>
  <c r="I109" i="1" s="1"/>
  <c r="Z10" i="1"/>
  <c r="Q10" i="1"/>
  <c r="Q108" i="1" s="1"/>
  <c r="I10" i="1"/>
  <c r="AB10" i="1" s="1"/>
  <c r="Z9" i="1"/>
  <c r="Z46" i="1" s="1"/>
  <c r="Q9" i="1"/>
  <c r="I9" i="1"/>
  <c r="AB9" i="1" s="1"/>
  <c r="AB8" i="1"/>
  <c r="Z8" i="1"/>
  <c r="Q8" i="1"/>
  <c r="I8" i="1"/>
  <c r="Z6" i="1"/>
  <c r="Q6" i="1"/>
  <c r="Q107" i="1" s="1"/>
  <c r="I6" i="1"/>
  <c r="I107" i="1" s="1"/>
  <c r="Z5" i="1"/>
  <c r="Q5" i="1"/>
  <c r="I5" i="1"/>
  <c r="I106" i="1" s="1"/>
  <c r="Z4" i="1"/>
  <c r="Z22" i="1" s="1"/>
  <c r="Z24" i="1" s="1"/>
  <c r="Q4" i="1"/>
  <c r="I4" i="1"/>
  <c r="AB4" i="1" s="1"/>
  <c r="Z3" i="1"/>
  <c r="Q3" i="1"/>
  <c r="I3" i="1"/>
  <c r="AB3" i="1" s="1"/>
  <c r="J23" i="2" l="1"/>
  <c r="J20" i="2"/>
  <c r="V23" i="2"/>
  <c r="V20" i="2"/>
  <c r="Z20" i="2"/>
  <c r="Z23" i="2"/>
  <c r="AB20" i="2"/>
  <c r="AB23" i="2"/>
  <c r="R23" i="2"/>
  <c r="R20" i="2"/>
  <c r="L23" i="2"/>
  <c r="L20" i="2"/>
  <c r="X23" i="2"/>
  <c r="X20" i="2"/>
  <c r="B20" i="2"/>
  <c r="B23" i="2"/>
  <c r="D23" i="2"/>
  <c r="D20" i="2"/>
  <c r="T20" i="2"/>
  <c r="T23" i="2"/>
  <c r="AH20" i="2"/>
  <c r="AH23" i="2"/>
  <c r="N23" i="2"/>
  <c r="N20" i="2"/>
  <c r="AJ11" i="2"/>
  <c r="AJ14" i="2" s="1"/>
  <c r="L13" i="2"/>
  <c r="L14" i="2" s="1"/>
  <c r="AD20" i="2"/>
  <c r="H20" i="2"/>
  <c r="AJ12" i="2"/>
  <c r="P20" i="2"/>
  <c r="F20" i="2"/>
  <c r="AJ9" i="2"/>
  <c r="AJ16" i="2" s="1"/>
  <c r="AF20" i="2"/>
  <c r="Z106" i="1"/>
  <c r="Z15" i="1"/>
  <c r="K18" i="1"/>
  <c r="K20" i="1"/>
  <c r="Q15" i="1"/>
  <c r="AI78" i="1"/>
  <c r="L16" i="1"/>
  <c r="L20" i="1"/>
  <c r="L18" i="1"/>
  <c r="AI85" i="1"/>
  <c r="AJ85" i="1" s="1"/>
  <c r="AB114" i="1"/>
  <c r="AB119" i="1"/>
  <c r="Q109" i="1"/>
  <c r="AB11" i="1"/>
  <c r="AF85" i="1"/>
  <c r="AB46" i="1"/>
  <c r="AB111" i="1"/>
  <c r="AB116" i="1"/>
  <c r="AI79" i="1"/>
  <c r="AB50" i="1"/>
  <c r="AF99" i="1"/>
  <c r="I24" i="1"/>
  <c r="AB5" i="1"/>
  <c r="Y20" i="1"/>
  <c r="Y16" i="1"/>
  <c r="Y18" i="1"/>
  <c r="AB108" i="1"/>
  <c r="I16" i="1"/>
  <c r="I18" i="1"/>
  <c r="AB15" i="1"/>
  <c r="I20" i="1"/>
  <c r="X18" i="1"/>
  <c r="X16" i="1"/>
  <c r="X20" i="1"/>
  <c r="AB52" i="1"/>
  <c r="Z108" i="1"/>
  <c r="D117" i="1"/>
  <c r="T118" i="1"/>
  <c r="N16" i="1"/>
  <c r="P116" i="1"/>
  <c r="S117" i="1"/>
  <c r="U118" i="1"/>
  <c r="AN77" i="1"/>
  <c r="F117" i="1"/>
  <c r="V118" i="1"/>
  <c r="AE81" i="1"/>
  <c r="AF81" i="1" s="1"/>
  <c r="AB89" i="1"/>
  <c r="AE91" i="1"/>
  <c r="AF91" i="1" s="1"/>
  <c r="E116" i="1"/>
  <c r="S116" i="1"/>
  <c r="G117" i="1"/>
  <c r="U117" i="1"/>
  <c r="I118" i="1"/>
  <c r="W118" i="1"/>
  <c r="L119" i="1"/>
  <c r="Y119" i="1"/>
  <c r="AB6" i="1"/>
  <c r="I25" i="1"/>
  <c r="AE89" i="1"/>
  <c r="AF89" i="1" s="1"/>
  <c r="I112" i="1"/>
  <c r="Q114" i="1"/>
  <c r="F116" i="1"/>
  <c r="T116" i="1"/>
  <c r="H117" i="1"/>
  <c r="V117" i="1"/>
  <c r="K118" i="1"/>
  <c r="X118" i="1"/>
  <c r="M119" i="1"/>
  <c r="AE88" i="1"/>
  <c r="M16" i="1"/>
  <c r="Q117" i="1"/>
  <c r="V119" i="1"/>
  <c r="Q111" i="1"/>
  <c r="I119" i="1"/>
  <c r="O16" i="1"/>
  <c r="Q116" i="1"/>
  <c r="X119" i="1"/>
  <c r="D16" i="1"/>
  <c r="M18" i="1"/>
  <c r="U116" i="1"/>
  <c r="W117" i="1"/>
  <c r="Z49" i="1"/>
  <c r="I111" i="1"/>
  <c r="H116" i="1"/>
  <c r="V116" i="1"/>
  <c r="K117" i="1"/>
  <c r="X117" i="1"/>
  <c r="M118" i="1"/>
  <c r="Z118" i="1"/>
  <c r="O119" i="1"/>
  <c r="H119" i="1"/>
  <c r="E117" i="1"/>
  <c r="G118" i="1"/>
  <c r="AB23" i="1"/>
  <c r="I113" i="1"/>
  <c r="D116" i="1"/>
  <c r="H118" i="1"/>
  <c r="I22" i="1"/>
  <c r="I49" i="1"/>
  <c r="Y118" i="1"/>
  <c r="Z112" i="1"/>
  <c r="I116" i="1"/>
  <c r="W116" i="1"/>
  <c r="L117" i="1"/>
  <c r="Y117" i="1"/>
  <c r="N118" i="1"/>
  <c r="P119" i="1"/>
  <c r="O116" i="1"/>
  <c r="F118" i="1"/>
  <c r="W119" i="1"/>
  <c r="AB86" i="1"/>
  <c r="T117" i="1"/>
  <c r="K119" i="1"/>
  <c r="P16" i="1"/>
  <c r="G116" i="1"/>
  <c r="L118" i="1"/>
  <c r="N119" i="1"/>
  <c r="K116" i="1"/>
  <c r="X116" i="1"/>
  <c r="M117" i="1"/>
  <c r="O118" i="1"/>
  <c r="AJ23" i="2" l="1"/>
  <c r="AJ20" i="2"/>
  <c r="AJ27" i="2"/>
  <c r="AJ28" i="2" s="1"/>
  <c r="AN85" i="1"/>
  <c r="AO85" i="1" s="1"/>
  <c r="AN81" i="1"/>
  <c r="AN83" i="1"/>
  <c r="AP83" i="1"/>
  <c r="AQ83" i="1" s="1"/>
  <c r="AP81" i="1"/>
  <c r="AQ81" i="1" s="1"/>
  <c r="AP85" i="1"/>
  <c r="AQ85" i="1" s="1"/>
  <c r="AB16" i="1"/>
  <c r="AB18" i="1"/>
  <c r="AB20" i="1"/>
  <c r="AB118" i="1"/>
  <c r="AB113" i="1"/>
  <c r="AI83" i="1"/>
  <c r="AJ83" i="1" s="1"/>
  <c r="AO83" i="1"/>
  <c r="AB14" i="1"/>
  <c r="AB109" i="1"/>
  <c r="Q16" i="1"/>
  <c r="Q20" i="1"/>
  <c r="Q18" i="1"/>
  <c r="AB112" i="1"/>
  <c r="AO81" i="1"/>
  <c r="AI81" i="1"/>
  <c r="AJ81" i="1" s="1"/>
  <c r="AB117" i="1"/>
  <c r="AJ79" i="1"/>
  <c r="AP79" i="1" s="1"/>
  <c r="AQ79" i="1" s="1"/>
  <c r="AB25" i="1"/>
  <c r="AB24" i="1"/>
  <c r="AB106" i="1"/>
  <c r="Z20" i="1"/>
  <c r="Z18" i="1"/>
  <c r="Z16" i="1"/>
  <c r="AB107" i="1"/>
  <c r="AN79" i="1"/>
  <c r="AO79" i="1" s="1"/>
</calcChain>
</file>

<file path=xl/comments1.xml><?xml version="1.0" encoding="utf-8"?>
<comments xmlns="http://schemas.openxmlformats.org/spreadsheetml/2006/main">
  <authors>
    <author>Nippon</author>
  </authors>
  <commentList>
    <comment ref="A76" authorId="0" shapeId="0">
      <text>
        <r>
          <rPr>
            <b/>
            <sz val="11"/>
            <color indexed="81"/>
            <rFont val="Tahoma"/>
            <family val="2"/>
          </rPr>
          <t>Eligibility 80%</t>
        </r>
      </text>
    </comment>
  </commentList>
</comments>
</file>

<file path=xl/sharedStrings.xml><?xml version="1.0" encoding="utf-8"?>
<sst xmlns="http://schemas.openxmlformats.org/spreadsheetml/2006/main" count="274" uniqueCount="150">
  <si>
    <t>CO01A</t>
  </si>
  <si>
    <t>CO01B</t>
  </si>
  <si>
    <t>CO01E</t>
  </si>
  <si>
    <t>MV01A</t>
  </si>
  <si>
    <t>KY01A</t>
  </si>
  <si>
    <t>Central</t>
  </si>
  <si>
    <t>TR01A</t>
  </si>
  <si>
    <t>TR01B</t>
  </si>
  <si>
    <t>TR01C</t>
  </si>
  <si>
    <t>KL01A</t>
  </si>
  <si>
    <t>KL01B</t>
  </si>
  <si>
    <t>PH01A</t>
  </si>
  <si>
    <t>South</t>
  </si>
  <si>
    <t>TL01A</t>
  </si>
  <si>
    <t>KT01A</t>
  </si>
  <si>
    <t>KT01B</t>
  </si>
  <si>
    <t>TI01A</t>
  </si>
  <si>
    <t>IR01A</t>
  </si>
  <si>
    <t>TI01B</t>
  </si>
  <si>
    <t>TI01C</t>
  </si>
  <si>
    <t>North</t>
  </si>
  <si>
    <t>Total</t>
  </si>
  <si>
    <r>
      <rPr>
        <b/>
        <sz val="8"/>
        <color indexed="8"/>
        <rFont val="Arial"/>
        <family val="2"/>
      </rPr>
      <t>GUS</t>
    </r>
    <r>
      <rPr>
        <sz val="8"/>
        <color indexed="8"/>
        <rFont val="Arial"/>
        <family val="2"/>
      </rPr>
      <t xml:space="preserve"> RO billed for the day</t>
    </r>
  </si>
  <si>
    <r>
      <rPr>
        <b/>
        <sz val="8"/>
        <color indexed="8"/>
        <rFont val="Arial"/>
        <family val="2"/>
      </rPr>
      <t>GUS</t>
    </r>
    <r>
      <rPr>
        <sz val="8"/>
        <color indexed="8"/>
        <rFont val="Arial"/>
        <family val="2"/>
      </rPr>
      <t xml:space="preserve"> RO-  </t>
    </r>
    <r>
      <rPr>
        <b/>
        <sz val="8"/>
        <color indexed="8"/>
        <rFont val="Arial"/>
        <family val="2"/>
      </rPr>
      <t>MTD</t>
    </r>
  </si>
  <si>
    <r>
      <rPr>
        <b/>
        <sz val="8"/>
        <color indexed="8"/>
        <rFont val="Arial"/>
        <family val="2"/>
      </rPr>
      <t>GUS</t>
    </r>
    <r>
      <rPr>
        <sz val="8"/>
        <color indexed="8"/>
        <rFont val="Arial"/>
        <family val="2"/>
      </rPr>
      <t xml:space="preserve"> Parts- MTD   (Rs)</t>
    </r>
  </si>
  <si>
    <r>
      <rPr>
        <b/>
        <sz val="8"/>
        <color indexed="8"/>
        <rFont val="Arial"/>
        <family val="2"/>
      </rPr>
      <t>GUS</t>
    </r>
    <r>
      <rPr>
        <sz val="8"/>
        <color indexed="8"/>
        <rFont val="Arial"/>
        <family val="2"/>
      </rPr>
      <t xml:space="preserve"> Labour- MTD   (Rs)</t>
    </r>
  </si>
  <si>
    <r>
      <rPr>
        <b/>
        <sz val="8"/>
        <color indexed="8"/>
        <rFont val="Arial"/>
        <family val="2"/>
      </rPr>
      <t>BPU</t>
    </r>
    <r>
      <rPr>
        <sz val="8"/>
        <color indexed="8"/>
        <rFont val="Arial"/>
        <family val="2"/>
      </rPr>
      <t xml:space="preserve"> RO billed for the day</t>
    </r>
  </si>
  <si>
    <r>
      <rPr>
        <b/>
        <sz val="8"/>
        <color indexed="8"/>
        <rFont val="Arial"/>
        <family val="2"/>
      </rPr>
      <t>BPU</t>
    </r>
    <r>
      <rPr>
        <sz val="8"/>
        <color indexed="8"/>
        <rFont val="Arial"/>
        <family val="2"/>
      </rPr>
      <t xml:space="preserve"> RO-  </t>
    </r>
    <r>
      <rPr>
        <b/>
        <sz val="8"/>
        <color indexed="8"/>
        <rFont val="Arial"/>
        <family val="2"/>
      </rPr>
      <t>MTD</t>
    </r>
  </si>
  <si>
    <r>
      <rPr>
        <b/>
        <sz val="8"/>
        <color indexed="8"/>
        <rFont val="Arial"/>
        <family val="2"/>
      </rPr>
      <t>BPU</t>
    </r>
    <r>
      <rPr>
        <sz val="8"/>
        <color indexed="8"/>
        <rFont val="Arial"/>
        <family val="2"/>
      </rPr>
      <t xml:space="preserve"> Parts- MTD  (Rs)</t>
    </r>
  </si>
  <si>
    <r>
      <rPr>
        <b/>
        <sz val="8"/>
        <color indexed="8"/>
        <rFont val="Arial"/>
        <family val="2"/>
      </rPr>
      <t>BPU</t>
    </r>
    <r>
      <rPr>
        <sz val="8"/>
        <color indexed="8"/>
        <rFont val="Arial"/>
        <family val="2"/>
      </rPr>
      <t xml:space="preserve"> Labour- MTD  (Rs)</t>
    </r>
  </si>
  <si>
    <t>External Sales- MTD</t>
  </si>
  <si>
    <t>% on SPR I</t>
  </si>
  <si>
    <t>Total  MTD (Rs)</t>
  </si>
  <si>
    <t>improvement over last month %</t>
  </si>
  <si>
    <t>improvement over last year %</t>
  </si>
  <si>
    <t>VAS bill-Target</t>
  </si>
  <si>
    <t>Achvmnt for the month</t>
  </si>
  <si>
    <t>VAS achvmnt %</t>
  </si>
  <si>
    <t xml:space="preserve">VAS - Gentani </t>
  </si>
  <si>
    <t>Wheel balancing for the day</t>
  </si>
  <si>
    <t>for the month</t>
  </si>
  <si>
    <t>Wheel alignment  for the day</t>
  </si>
  <si>
    <t>For the month</t>
  </si>
  <si>
    <t>Brake skimming for the day</t>
  </si>
  <si>
    <t>GR to BP conversion revenue for the day</t>
  </si>
  <si>
    <t>s</t>
  </si>
  <si>
    <t>GR to BP  conversion for the day</t>
  </si>
  <si>
    <t>Engine Flush for the day</t>
  </si>
  <si>
    <t>Ach % with PM</t>
  </si>
  <si>
    <t>Evaporator Cleaning for the day</t>
  </si>
  <si>
    <t>Evaporator Cleaning / TUS</t>
  </si>
  <si>
    <t>DIY revenue for the day</t>
  </si>
  <si>
    <t>DIY revenue / TUS</t>
  </si>
  <si>
    <t>Injector Cleaner Diesel/Petrol</t>
  </si>
  <si>
    <r>
      <t xml:space="preserve">Synthetic oil for the day </t>
    </r>
    <r>
      <rPr>
        <b/>
        <sz val="11"/>
        <color indexed="8"/>
        <rFont val="Calibri"/>
        <family val="2"/>
      </rPr>
      <t>(ltrs)</t>
    </r>
  </si>
  <si>
    <r>
      <t xml:space="preserve">for the month </t>
    </r>
    <r>
      <rPr>
        <b/>
        <sz val="11"/>
        <color indexed="8"/>
        <rFont val="Calibri"/>
        <family val="2"/>
      </rPr>
      <t>(ltrs)</t>
    </r>
  </si>
  <si>
    <t>T Club For the Month</t>
  </si>
  <si>
    <t>Breake Cleaning Spray for the day</t>
  </si>
  <si>
    <t>Tire target</t>
  </si>
  <si>
    <t>Tire Sales</t>
  </si>
  <si>
    <t>Battery Target</t>
  </si>
  <si>
    <t>Battery sale</t>
  </si>
  <si>
    <t xml:space="preserve">Scrap Revenue Without Tax </t>
  </si>
  <si>
    <t>Used Oil Revenue Without Tax</t>
  </si>
  <si>
    <t>Extended warranty for the day</t>
  </si>
  <si>
    <t>Extended warranty for the month</t>
  </si>
  <si>
    <t>S D</t>
  </si>
  <si>
    <t>E D</t>
  </si>
  <si>
    <t>HL</t>
  </si>
  <si>
    <t>Smiles for the day</t>
  </si>
  <si>
    <t>Smiles for the month</t>
  </si>
  <si>
    <t>Target TGloss Service</t>
  </si>
  <si>
    <t>PenetrationTGloss Service</t>
  </si>
  <si>
    <t>Target TGloss Mech Care</t>
  </si>
  <si>
    <t>Penetration Mech Care</t>
  </si>
  <si>
    <t>Total Working Days</t>
  </si>
  <si>
    <t>T Gloss SPO</t>
  </si>
  <si>
    <t>As on</t>
  </si>
  <si>
    <t>Working days till date</t>
  </si>
  <si>
    <t>GR034</t>
  </si>
  <si>
    <t>Ach %</t>
  </si>
  <si>
    <t>Group Target</t>
  </si>
  <si>
    <t xml:space="preserve">CPU target - </t>
  </si>
  <si>
    <t xml:space="preserve">BPU target </t>
  </si>
  <si>
    <t>Short/Excess</t>
  </si>
  <si>
    <t>Short</t>
  </si>
  <si>
    <t>Proj</t>
  </si>
  <si>
    <t>CPU for the  day</t>
  </si>
  <si>
    <t>Achievement</t>
  </si>
  <si>
    <t xml:space="preserve">Offtake target </t>
  </si>
  <si>
    <t xml:space="preserve">BPU target - </t>
  </si>
  <si>
    <t>BPU for the  day</t>
  </si>
  <si>
    <t xml:space="preserve">Parts Retail target </t>
  </si>
  <si>
    <t xml:space="preserve">Offtake target - </t>
  </si>
  <si>
    <t>PM + OC target</t>
  </si>
  <si>
    <t>Offtake for the previous day</t>
  </si>
  <si>
    <t xml:space="preserve">Parts Retail target - </t>
  </si>
  <si>
    <t>Parts Retail for the  day</t>
  </si>
  <si>
    <t>PM + OC for the  day</t>
  </si>
  <si>
    <t>Unique VIN VAS Target</t>
  </si>
  <si>
    <t>Unique VIN VAS  for the  day</t>
  </si>
  <si>
    <t>Total Car Care Treatments Target(w/o Mech Care)</t>
  </si>
  <si>
    <t>Total Car Care Treatments  for the  day(w/o Mech Care)</t>
  </si>
  <si>
    <t>Achvmnt for the month(w/o Mech Care)</t>
  </si>
  <si>
    <t>TP-TP Target</t>
  </si>
  <si>
    <t>TP-TP for the  day</t>
  </si>
  <si>
    <t>NTP-TP Target</t>
  </si>
  <si>
    <t>NTP-TP for the  day</t>
  </si>
  <si>
    <t>GS Parts Genten i</t>
  </si>
  <si>
    <t>GS Labour Genten i</t>
  </si>
  <si>
    <t>BP Parts Genten i</t>
  </si>
  <si>
    <t>BP Labour Genten i</t>
  </si>
  <si>
    <t>BPU Ach %</t>
  </si>
  <si>
    <t>Ach</t>
  </si>
  <si>
    <t>SPO Ach %</t>
  </si>
  <si>
    <t>SPR Ach %</t>
  </si>
  <si>
    <t>PMOC Ach %</t>
  </si>
  <si>
    <t>Service daily report - Nippon Group</t>
  </si>
  <si>
    <t>KOC</t>
  </si>
  <si>
    <t>KOC-Towers</t>
  </si>
  <si>
    <t>MVP</t>
  </si>
  <si>
    <t>KYLM</t>
  </si>
  <si>
    <t>TVM</t>
  </si>
  <si>
    <t>TVM ENJ</t>
  </si>
  <si>
    <t>VELI</t>
  </si>
  <si>
    <t>KLM 3S</t>
  </si>
  <si>
    <t>KLM B&amp;P</t>
  </si>
  <si>
    <t>PTMTA</t>
  </si>
  <si>
    <t>TVLA</t>
  </si>
  <si>
    <t>KTM</t>
  </si>
  <si>
    <t>PALA</t>
  </si>
  <si>
    <t>TCR</t>
  </si>
  <si>
    <t>IJKDA</t>
  </si>
  <si>
    <t>TCR 2S</t>
  </si>
  <si>
    <t>CHVKD</t>
  </si>
  <si>
    <t>GUS</t>
  </si>
  <si>
    <t>BPU</t>
  </si>
  <si>
    <t>RO billed for the day</t>
  </si>
  <si>
    <r>
      <t xml:space="preserve">RO-  </t>
    </r>
    <r>
      <rPr>
        <b/>
        <sz val="10"/>
        <rFont val="Arial"/>
        <family val="2"/>
      </rPr>
      <t>MTD</t>
    </r>
  </si>
  <si>
    <t>Parts- MTD</t>
  </si>
  <si>
    <t>Labour- MTD</t>
  </si>
  <si>
    <t>VAS bill- 3M and DB only</t>
  </si>
  <si>
    <t>VAS units  3M&amp; DB- MTD</t>
  </si>
  <si>
    <t xml:space="preserve">VAS - Target </t>
  </si>
  <si>
    <t>Total  MTD</t>
  </si>
  <si>
    <t>Till Oct 20</t>
  </si>
  <si>
    <t>Nov'20</t>
  </si>
  <si>
    <t>Total achvmnt</t>
  </si>
  <si>
    <t>`</t>
  </si>
  <si>
    <t xml:space="preserve"> Target '19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</si>
</sst>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$-409]d\-mmm\-yy;@"/>
    <numFmt numFmtId="165" formatCode="_(* #,##0.00_);_(* \(#,##0.00\);_(* &quot;-&quot;??_);_(@_)"/>
    <numFmt numFmtId="166" formatCode="_(* #,##0_);_(* \(#,##0\);_(* &quot;-&quot;??_);_(@_)"/>
    <numFmt numFmtId="167" formatCode="_ * #,##0_ ;_ * \-#,##0_ ;_ * &quot;-&quot;??_ ;_ @_ "/>
    <numFmt numFmtId="168" formatCode="0.0%"/>
    <numFmt numFmtId="169" formatCode="&quot;₹&quot;\ #,##0"/>
    <numFmt numFmtId="170" formatCode="&quot;₹&quot;\ #,##0.00"/>
    <numFmt numFmtId="171" formatCode="0.00000"/>
    <numFmt numFmtId="172" formatCode="0.000"/>
    <numFmt numFmtId="173" formatCode="0.0000000"/>
    <numFmt numFmtId="174" formatCode="0.0000"/>
    <numFmt numFmtId="175" formatCode="0.0"/>
    <numFmt numFmtId="176" formatCode="[$-F800]dddd\,\ mmmm\ dd\,\ yyyy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Arial"/>
      <family val="2"/>
    </font>
    <font>
      <b/>
      <sz val="10"/>
      <color rgb="FF92D05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rgb="FF00B050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9"/>
      <color theme="1"/>
      <name val="Arial"/>
      <family val="2"/>
    </font>
    <font>
      <sz val="10"/>
      <name val="Arial"/>
      <family val="2"/>
      <charset val="1"/>
    </font>
    <font>
      <b/>
      <sz val="9"/>
      <color indexed="8"/>
      <name val="Arial"/>
      <family val="2"/>
    </font>
    <font>
      <b/>
      <sz val="11"/>
      <color rgb="FFFF0000"/>
      <name val="Arial"/>
      <family val="2"/>
    </font>
    <font>
      <sz val="9"/>
      <color indexed="8"/>
      <name val="Arial"/>
      <family val="2"/>
    </font>
    <font>
      <sz val="10"/>
      <color theme="0" tint="-0.249977111117893"/>
      <name val="Arial"/>
      <family val="2"/>
    </font>
    <font>
      <b/>
      <sz val="10"/>
      <color theme="0" tint="-0.249977111117893"/>
      <name val="Arial"/>
      <family val="2"/>
    </font>
    <font>
      <sz val="9"/>
      <color rgb="FFFF0000"/>
      <name val="Arial"/>
      <family val="2"/>
    </font>
    <font>
      <b/>
      <sz val="12"/>
      <color indexed="8"/>
      <name val="Calibri"/>
      <family val="2"/>
    </font>
    <font>
      <b/>
      <sz val="10"/>
      <color indexed="17"/>
      <name val="Arial"/>
      <family val="2"/>
    </font>
    <font>
      <b/>
      <sz val="10"/>
      <color rgb="FFFF0000"/>
      <name val="Arial"/>
      <family val="2"/>
    </font>
    <font>
      <b/>
      <sz val="10"/>
      <color rgb="FF7030A0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b/>
      <sz val="11"/>
      <color indexed="8"/>
      <name val="Calibri"/>
      <family val="2"/>
    </font>
    <font>
      <b/>
      <sz val="9"/>
      <name val="Arial"/>
      <family val="2"/>
    </font>
    <font>
      <sz val="10"/>
      <color theme="1"/>
      <name val="Calibri"/>
      <family val="2"/>
      <scheme val="minor"/>
    </font>
    <font>
      <b/>
      <sz val="11"/>
      <color indexed="8"/>
      <name val="Arial"/>
      <family val="2"/>
    </font>
    <font>
      <b/>
      <sz val="11"/>
      <name val="Calibri"/>
      <family val="2"/>
      <scheme val="minor"/>
    </font>
    <font>
      <b/>
      <sz val="12"/>
      <name val="Arial"/>
      <family val="2"/>
    </font>
    <font>
      <sz val="11"/>
      <color indexed="8"/>
      <name val="Arial"/>
      <family val="2"/>
    </font>
    <font>
      <sz val="8"/>
      <name val="Arial"/>
      <family val="2"/>
      <charset val="1"/>
    </font>
    <font>
      <b/>
      <sz val="10"/>
      <color theme="1"/>
      <name val="Arial"/>
      <family val="2"/>
    </font>
    <font>
      <b/>
      <sz val="11"/>
      <color indexed="81"/>
      <name val="Tahoma"/>
      <family val="2"/>
    </font>
    <font>
      <b/>
      <u/>
      <sz val="12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0"/>
      <color indexed="10"/>
      <name val="Arial"/>
      <family val="2"/>
    </font>
    <font>
      <sz val="11"/>
      <name val="Arial"/>
      <family val="2"/>
    </font>
    <font>
      <b/>
      <sz val="12"/>
      <color indexed="17"/>
      <name val="Arial"/>
      <family val="2"/>
    </font>
    <font>
      <sz val="18"/>
      <name val="Arial"/>
      <family val="2"/>
    </font>
    <font>
      <sz val="12"/>
      <name val="Arial"/>
      <family val="2"/>
    </font>
    <font>
      <sz val="10"/>
      <color indexed="9"/>
      <name val="Arial"/>
      <family val="2"/>
    </font>
    <font>
      <b/>
      <u/>
      <sz val="10"/>
      <name val="Arial"/>
      <family val="2"/>
    </font>
    <font>
      <b/>
      <sz val="14"/>
      <color indexed="10"/>
      <name val="Arial"/>
      <family val="2"/>
    </font>
    <font>
      <sz val="16"/>
      <name val="Arial"/>
      <family val="2"/>
    </font>
    <font>
      <b/>
      <i/>
      <sz val="10"/>
      <name val="Arial"/>
      <family val="2"/>
    </font>
    <font>
      <sz val="14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D77E3"/>
        <bgColor indexed="64"/>
      </patternFill>
    </fill>
    <fill>
      <patternFill patternType="solid">
        <fgColor rgb="FFFF66FF"/>
        <bgColor rgb="FFFD77E3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</fills>
  <borders count="132">
    <border>
      <left/>
      <right/>
      <top/>
      <bottom/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/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/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/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/>
      <bottom style="thin">
        <color indexed="64"/>
      </bottom>
      <diagonal/>
    </border>
    <border>
      <left/>
      <right/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/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/>
      <top style="thin">
        <color indexed="64"/>
      </top>
      <bottom style="medium">
        <color indexed="64"/>
      </bottom>
      <diagonal/>
    </border>
    <border>
      <left style="thick">
        <color rgb="FFFF0000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rgb="FFFF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8"/>
      </bottom>
      <diagonal/>
    </border>
    <border>
      <left style="thick">
        <color rgb="FFFF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ck">
        <color rgb="FFFF000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 style="thick">
        <color rgb="FFFF0000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rgb="FFFF0000"/>
      </left>
      <right/>
      <top style="medium">
        <color indexed="64"/>
      </top>
      <bottom/>
      <diagonal/>
    </border>
    <border>
      <left style="thick">
        <color rgb="FFFF0000"/>
      </left>
      <right style="thick">
        <color rgb="FFFF0000"/>
      </right>
      <top style="medium">
        <color indexed="64"/>
      </top>
      <bottom style="medium">
        <color indexed="64"/>
      </bottom>
      <diagonal/>
    </border>
    <border>
      <left style="thick">
        <color rgb="FFFF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rgb="FFFF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rgb="FFFF0000"/>
      </left>
      <right style="thick">
        <color rgb="FFFF0000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thin">
        <color indexed="64"/>
      </right>
      <top/>
      <bottom/>
      <diagonal/>
    </border>
    <border>
      <left style="thick">
        <color rgb="FFFF0000"/>
      </left>
      <right style="thick">
        <color rgb="FFFF0000"/>
      </right>
      <top/>
      <bottom style="medium">
        <color indexed="64"/>
      </bottom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/>
      <top style="thin">
        <color indexed="64"/>
      </top>
      <bottom style="thick">
        <color rgb="FFFF0000"/>
      </bottom>
      <diagonal/>
    </border>
    <border>
      <left/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/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43" fontId="10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</cellStyleXfs>
  <cellXfs count="1403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" fontId="5" fillId="0" borderId="0" xfId="0" applyNumberFormat="1" applyFont="1" applyFill="1" applyAlignment="1">
      <alignment horizontal="center" vertical="center"/>
    </xf>
    <xf numFmtId="0" fontId="3" fillId="2" borderId="0" xfId="2" applyNumberFormat="1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164" fontId="7" fillId="3" borderId="2" xfId="0" applyNumberFormat="1" applyFont="1" applyFill="1" applyBorder="1" applyAlignment="1">
      <alignment horizontal="center" vertical="center"/>
    </xf>
    <xf numFmtId="164" fontId="7" fillId="3" borderId="3" xfId="0" applyNumberFormat="1" applyFont="1" applyFill="1" applyBorder="1" applyAlignment="1">
      <alignment horizontal="center" vertical="center"/>
    </xf>
    <xf numFmtId="1" fontId="8" fillId="0" borderId="4" xfId="3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9" fontId="0" fillId="3" borderId="0" xfId="2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0" fontId="8" fillId="3" borderId="0" xfId="4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0" fontId="11" fillId="3" borderId="0" xfId="5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2" fillId="3" borderId="7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1" fontId="14" fillId="2" borderId="9" xfId="6" applyNumberFormat="1" applyFont="1" applyFill="1" applyBorder="1" applyAlignment="1">
      <alignment horizontal="center" vertical="center"/>
    </xf>
    <xf numFmtId="0" fontId="14" fillId="0" borderId="10" xfId="0" applyFont="1" applyFill="1" applyBorder="1" applyAlignment="1">
      <alignment horizontal="center" vertical="center"/>
    </xf>
    <xf numFmtId="1" fontId="6" fillId="0" borderId="11" xfId="3" applyNumberFormat="1" applyBorder="1" applyAlignment="1">
      <alignment horizontal="center" vertical="center"/>
    </xf>
    <xf numFmtId="1" fontId="0" fillId="3" borderId="12" xfId="0" applyNumberFormat="1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1" fontId="15" fillId="3" borderId="9" xfId="7" applyNumberFormat="1" applyFont="1" applyFill="1" applyBorder="1" applyAlignment="1">
      <alignment horizontal="center" vertical="center"/>
    </xf>
    <xf numFmtId="1" fontId="6" fillId="3" borderId="10" xfId="7" applyNumberFormat="1" applyFont="1" applyFill="1" applyBorder="1" applyAlignment="1">
      <alignment horizontal="center" vertical="center"/>
    </xf>
    <xf numFmtId="1" fontId="15" fillId="3" borderId="14" xfId="8" applyNumberFormat="1" applyFont="1" applyFill="1" applyBorder="1" applyAlignment="1">
      <alignment horizontal="center" vertical="center"/>
    </xf>
    <xf numFmtId="1" fontId="6" fillId="0" borderId="10" xfId="3" applyNumberFormat="1" applyBorder="1" applyAlignment="1">
      <alignment horizontal="center" vertical="center"/>
    </xf>
    <xf numFmtId="1" fontId="6" fillId="3" borderId="12" xfId="7" applyNumberFormat="1" applyFont="1" applyFill="1" applyBorder="1" applyAlignment="1">
      <alignment horizontal="center" vertical="center"/>
    </xf>
    <xf numFmtId="1" fontId="6" fillId="4" borderId="15" xfId="7" applyNumberFormat="1" applyFont="1" applyFill="1" applyBorder="1" applyAlignment="1">
      <alignment horizontal="center" vertical="center"/>
    </xf>
    <xf numFmtId="1" fontId="0" fillId="3" borderId="16" xfId="7" applyNumberFormat="1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1" fontId="16" fillId="3" borderId="17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1" fontId="14" fillId="2" borderId="18" xfId="6" applyNumberFormat="1" applyFont="1" applyFill="1" applyBorder="1" applyAlignment="1">
      <alignment horizontal="center" vertical="center"/>
    </xf>
    <xf numFmtId="0" fontId="14" fillId="0" borderId="19" xfId="0" applyFon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ont="1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1" fontId="6" fillId="2" borderId="18" xfId="6" applyNumberFormat="1" applyFont="1" applyFill="1" applyBorder="1" applyAlignment="1">
      <alignment horizontal="center" vertical="center"/>
    </xf>
    <xf numFmtId="1" fontId="6" fillId="3" borderId="22" xfId="3" applyNumberForma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1" fontId="6" fillId="3" borderId="19" xfId="7" applyNumberFormat="1" applyFont="1" applyFill="1" applyBorder="1" applyAlignment="1">
      <alignment horizontal="center" vertical="center"/>
    </xf>
    <xf numFmtId="1" fontId="6" fillId="3" borderId="20" xfId="7" applyNumberFormat="1" applyFont="1" applyFill="1" applyBorder="1" applyAlignment="1">
      <alignment horizontal="center" vertical="center"/>
    </xf>
    <xf numFmtId="1" fontId="6" fillId="4" borderId="21" xfId="7" applyNumberFormat="1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1" fontId="16" fillId="3" borderId="21" xfId="0" applyNumberFormat="1" applyFont="1" applyFill="1" applyBorder="1" applyAlignment="1">
      <alignment horizontal="center" vertical="center"/>
    </xf>
    <xf numFmtId="1" fontId="5" fillId="3" borderId="0" xfId="0" applyNumberFormat="1" applyFont="1" applyFill="1" applyAlignment="1">
      <alignment horizontal="center" vertical="center"/>
    </xf>
    <xf numFmtId="1" fontId="14" fillId="2" borderId="18" xfId="1" applyNumberFormat="1" applyFont="1" applyFill="1" applyBorder="1" applyAlignment="1">
      <alignment horizontal="center" vertical="center"/>
    </xf>
    <xf numFmtId="1" fontId="14" fillId="0" borderId="19" xfId="0" applyNumberFormat="1" applyFont="1" applyFill="1" applyBorder="1" applyAlignment="1">
      <alignment horizontal="center" vertical="center"/>
    </xf>
    <xf numFmtId="1" fontId="0" fillId="3" borderId="19" xfId="0" applyNumberFormat="1" applyFill="1" applyBorder="1" applyAlignment="1">
      <alignment horizontal="center" vertical="center"/>
    </xf>
    <xf numFmtId="1" fontId="0" fillId="3" borderId="20" xfId="0" applyNumberFormat="1" applyFont="1" applyFill="1" applyBorder="1" applyAlignment="1">
      <alignment horizontal="center" vertical="center"/>
    </xf>
    <xf numFmtId="1" fontId="0" fillId="4" borderId="21" xfId="0" applyNumberFormat="1" applyFill="1" applyBorder="1" applyAlignment="1">
      <alignment horizontal="center" vertical="center"/>
    </xf>
    <xf numFmtId="1" fontId="0" fillId="3" borderId="20" xfId="0" applyNumberFormat="1" applyFill="1" applyBorder="1" applyAlignment="1">
      <alignment horizontal="center" vertical="center"/>
    </xf>
    <xf numFmtId="1" fontId="6" fillId="3" borderId="23" xfId="0" applyNumberFormat="1" applyFont="1" applyFill="1" applyBorder="1" applyAlignment="1">
      <alignment horizontal="center" vertical="center"/>
    </xf>
    <xf numFmtId="1" fontId="6" fillId="0" borderId="19" xfId="0" applyNumberFormat="1" applyFont="1" applyFill="1" applyBorder="1" applyAlignment="1">
      <alignment horizontal="center" vertical="center"/>
    </xf>
    <xf numFmtId="1" fontId="6" fillId="3" borderId="22" xfId="0" applyNumberFormat="1" applyFont="1" applyFill="1" applyBorder="1" applyAlignment="1">
      <alignment horizontal="center" vertical="center"/>
    </xf>
    <xf numFmtId="9" fontId="16" fillId="3" borderId="0" xfId="2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center" vertical="center"/>
    </xf>
    <xf numFmtId="1" fontId="17" fillId="3" borderId="27" xfId="1" applyNumberFormat="1" applyFont="1" applyFill="1" applyBorder="1" applyAlignment="1">
      <alignment horizontal="center" vertical="center"/>
    </xf>
    <xf numFmtId="1" fontId="14" fillId="0" borderId="28" xfId="0" applyNumberFormat="1" applyFont="1" applyFill="1" applyBorder="1" applyAlignment="1">
      <alignment horizontal="center" vertical="center"/>
    </xf>
    <xf numFmtId="1" fontId="0" fillId="3" borderId="29" xfId="0" applyNumberFormat="1" applyFont="1" applyFill="1" applyBorder="1" applyAlignment="1">
      <alignment horizontal="center" vertical="center"/>
    </xf>
    <xf numFmtId="1" fontId="0" fillId="4" borderId="30" xfId="0" applyNumberFormat="1" applyFill="1" applyBorder="1" applyAlignment="1">
      <alignment horizontal="center" vertical="center"/>
    </xf>
    <xf numFmtId="1" fontId="15" fillId="3" borderId="27" xfId="7" applyNumberFormat="1" applyFont="1" applyFill="1" applyBorder="1" applyAlignment="1">
      <alignment horizontal="center" vertical="center"/>
    </xf>
    <xf numFmtId="1" fontId="6" fillId="3" borderId="31" xfId="3" applyNumberFormat="1" applyFill="1" applyBorder="1" applyAlignment="1">
      <alignment horizontal="center" vertical="center"/>
    </xf>
    <xf numFmtId="1" fontId="0" fillId="3" borderId="29" xfId="0" applyNumberFormat="1" applyFill="1" applyBorder="1" applyAlignment="1">
      <alignment horizontal="center" vertical="center"/>
    </xf>
    <xf numFmtId="1" fontId="6" fillId="3" borderId="28" xfId="7" applyNumberFormat="1" applyFont="1" applyFill="1" applyBorder="1" applyAlignment="1">
      <alignment horizontal="center" vertical="center"/>
    </xf>
    <xf numFmtId="1" fontId="6" fillId="3" borderId="29" xfId="7" applyNumberFormat="1" applyFont="1" applyFill="1" applyBorder="1" applyAlignment="1">
      <alignment horizontal="center" vertical="center"/>
    </xf>
    <xf numFmtId="1" fontId="6" fillId="3" borderId="32" xfId="0" applyNumberFormat="1" applyFont="1" applyFill="1" applyBorder="1" applyAlignment="1">
      <alignment horizontal="center" vertical="center"/>
    </xf>
    <xf numFmtId="1" fontId="6" fillId="0" borderId="28" xfId="0" applyNumberFormat="1" applyFont="1" applyFill="1" applyBorder="1" applyAlignment="1">
      <alignment horizontal="center" vertical="center"/>
    </xf>
    <xf numFmtId="1" fontId="6" fillId="3" borderId="31" xfId="0" applyNumberFormat="1" applyFont="1" applyFill="1" applyBorder="1" applyAlignment="1">
      <alignment horizontal="center" vertical="center"/>
    </xf>
    <xf numFmtId="1" fontId="0" fillId="3" borderId="31" xfId="0" applyNumberForma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1" fontId="0" fillId="3" borderId="28" xfId="0" applyNumberFormat="1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" fontId="16" fillId="3" borderId="30" xfId="0" applyNumberFormat="1" applyFont="1" applyFill="1" applyBorder="1" applyAlignment="1">
      <alignment horizontal="center" vertical="center"/>
    </xf>
    <xf numFmtId="0" fontId="16" fillId="5" borderId="33" xfId="0" applyFont="1" applyFill="1" applyBorder="1" applyAlignment="1">
      <alignment vertical="center"/>
    </xf>
    <xf numFmtId="0" fontId="16" fillId="5" borderId="0" xfId="0" applyFont="1" applyFill="1" applyBorder="1" applyAlignment="1">
      <alignment vertical="center"/>
    </xf>
    <xf numFmtId="0" fontId="16" fillId="5" borderId="34" xfId="0" applyFont="1" applyFill="1" applyBorder="1" applyAlignment="1">
      <alignment vertical="center"/>
    </xf>
    <xf numFmtId="1" fontId="14" fillId="6" borderId="35" xfId="6" applyNumberFormat="1" applyFont="1" applyFill="1" applyBorder="1" applyAlignment="1">
      <alignment horizontal="center" vertical="center"/>
    </xf>
    <xf numFmtId="0" fontId="14" fillId="6" borderId="34" xfId="0" applyFont="1" applyFill="1" applyBorder="1" applyAlignment="1">
      <alignment horizontal="center" vertical="center"/>
    </xf>
    <xf numFmtId="0" fontId="15" fillId="6" borderId="36" xfId="0" applyFont="1" applyFill="1" applyBorder="1" applyAlignment="1">
      <alignment horizontal="center" vertical="center"/>
    </xf>
    <xf numFmtId="0" fontId="0" fillId="6" borderId="36" xfId="0" applyFont="1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1" fontId="6" fillId="6" borderId="18" xfId="6" applyNumberFormat="1" applyFont="1" applyFill="1" applyBorder="1" applyAlignment="1">
      <alignment horizontal="center" vertical="center"/>
    </xf>
    <xf numFmtId="0" fontId="0" fillId="6" borderId="36" xfId="0" applyFill="1" applyBorder="1" applyAlignment="1">
      <alignment horizontal="center" vertical="center"/>
    </xf>
    <xf numFmtId="1" fontId="6" fillId="6" borderId="36" xfId="0" applyNumberFormat="1" applyFont="1" applyFill="1" applyBorder="1" applyAlignment="1">
      <alignment horizontal="center" vertical="center"/>
    </xf>
    <xf numFmtId="1" fontId="6" fillId="4" borderId="37" xfId="0" applyNumberFormat="1" applyFont="1" applyFill="1" applyBorder="1" applyAlignment="1">
      <alignment horizontal="center" vertical="center"/>
    </xf>
    <xf numFmtId="0" fontId="6" fillId="6" borderId="33" xfId="0" applyFont="1" applyFill="1" applyBorder="1" applyAlignment="1">
      <alignment horizontal="center" vertical="center"/>
    </xf>
    <xf numFmtId="0" fontId="6" fillId="6" borderId="36" xfId="0" applyFont="1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1" fontId="0" fillId="4" borderId="37" xfId="0" applyNumberFormat="1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1" fontId="5" fillId="3" borderId="0" xfId="0" applyNumberFormat="1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16" fillId="5" borderId="38" xfId="0" applyFont="1" applyFill="1" applyBorder="1" applyAlignment="1">
      <alignment vertical="center"/>
    </xf>
    <xf numFmtId="0" fontId="16" fillId="5" borderId="39" xfId="0" applyFont="1" applyFill="1" applyBorder="1" applyAlignment="1">
      <alignment vertical="center"/>
    </xf>
    <xf numFmtId="0" fontId="12" fillId="3" borderId="40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42" xfId="0" applyFont="1" applyFill="1" applyBorder="1" applyAlignment="1">
      <alignment horizontal="center" vertical="center"/>
    </xf>
    <xf numFmtId="1" fontId="14" fillId="0" borderId="43" xfId="0" applyNumberFormat="1" applyFont="1" applyFill="1" applyBorder="1" applyAlignment="1">
      <alignment horizontal="center" vertical="center" wrapText="1"/>
    </xf>
    <xf numFmtId="1" fontId="6" fillId="3" borderId="44" xfId="3" applyNumberFormat="1" applyFill="1" applyBorder="1" applyAlignment="1">
      <alignment horizontal="center" vertical="center"/>
    </xf>
    <xf numFmtId="0" fontId="0" fillId="3" borderId="42" xfId="0" applyFont="1" applyFill="1" applyBorder="1" applyAlignment="1">
      <alignment horizontal="center" vertical="center"/>
    </xf>
    <xf numFmtId="0" fontId="0" fillId="4" borderId="45" xfId="0" applyFill="1" applyBorder="1" applyAlignment="1">
      <alignment horizontal="center" vertical="center"/>
    </xf>
    <xf numFmtId="1" fontId="15" fillId="3" borderId="40" xfId="7" applyNumberFormat="1" applyFont="1" applyFill="1" applyBorder="1" applyAlignment="1">
      <alignment horizontal="center" vertical="center"/>
    </xf>
    <xf numFmtId="1" fontId="14" fillId="0" borderId="46" xfId="0" applyNumberFormat="1" applyFont="1" applyFill="1" applyBorder="1" applyAlignment="1">
      <alignment horizontal="center" vertical="center" wrapText="1"/>
    </xf>
    <xf numFmtId="0" fontId="0" fillId="3" borderId="42" xfId="0" applyFill="1" applyBorder="1" applyAlignment="1">
      <alignment horizontal="center" vertical="center"/>
    </xf>
    <xf numFmtId="1" fontId="6" fillId="3" borderId="41" xfId="7" applyNumberFormat="1" applyFont="1" applyFill="1" applyBorder="1" applyAlignment="1">
      <alignment horizontal="center" vertical="center"/>
    </xf>
    <xf numFmtId="1" fontId="6" fillId="3" borderId="42" xfId="7" applyNumberFormat="1" applyFont="1" applyFill="1" applyBorder="1" applyAlignment="1">
      <alignment horizontal="center" vertical="center"/>
    </xf>
    <xf numFmtId="1" fontId="6" fillId="4" borderId="45" xfId="7" applyNumberFormat="1" applyFont="1" applyFill="1" applyBorder="1" applyAlignment="1">
      <alignment horizontal="center" vertical="center"/>
    </xf>
    <xf numFmtId="1" fontId="0" fillId="3" borderId="47" xfId="7" applyNumberFormat="1" applyFont="1" applyFill="1" applyBorder="1" applyAlignment="1">
      <alignment horizontal="center" vertical="center"/>
    </xf>
    <xf numFmtId="0" fontId="6" fillId="3" borderId="41" xfId="0" applyFont="1" applyFill="1" applyBorder="1" applyAlignment="1">
      <alignment horizontal="center" vertical="center"/>
    </xf>
    <xf numFmtId="0" fontId="6" fillId="3" borderId="44" xfId="0" applyFont="1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1" fontId="0" fillId="4" borderId="45" xfId="0" applyNumberFormat="1" applyFill="1" applyBorder="1" applyAlignment="1">
      <alignment horizontal="center" vertical="center"/>
    </xf>
    <xf numFmtId="1" fontId="16" fillId="3" borderId="45" xfId="0" applyNumberFormat="1" applyFont="1" applyFill="1" applyBorder="1" applyAlignment="1">
      <alignment horizontal="center" vertical="center"/>
    </xf>
    <xf numFmtId="166" fontId="5" fillId="3" borderId="0" xfId="0" applyNumberFormat="1" applyFont="1" applyFill="1" applyAlignment="1">
      <alignment horizontal="center" vertical="center"/>
    </xf>
    <xf numFmtId="1" fontId="14" fillId="0" borderId="48" xfId="0" applyNumberFormat="1" applyFont="1" applyFill="1" applyBorder="1" applyAlignment="1">
      <alignment horizontal="center" vertical="center" wrapText="1"/>
    </xf>
    <xf numFmtId="1" fontId="14" fillId="0" borderId="49" xfId="0" applyNumberFormat="1" applyFont="1" applyFill="1" applyBorder="1" applyAlignment="1">
      <alignment horizontal="center" vertical="center" wrapText="1"/>
    </xf>
    <xf numFmtId="1" fontId="0" fillId="3" borderId="20" xfId="0" applyNumberFormat="1" applyFont="1" applyFill="1" applyBorder="1" applyAlignment="1">
      <alignment horizontal="center" vertical="center" wrapText="1"/>
    </xf>
    <xf numFmtId="1" fontId="0" fillId="4" borderId="21" xfId="0" applyNumberFormat="1" applyFill="1" applyBorder="1" applyAlignment="1">
      <alignment horizontal="center" vertical="center" wrapText="1"/>
    </xf>
    <xf numFmtId="1" fontId="0" fillId="3" borderId="20" xfId="0" applyNumberFormat="1" applyFill="1" applyBorder="1" applyAlignment="1">
      <alignment horizontal="center" vertical="center" wrapText="1"/>
    </xf>
    <xf numFmtId="1" fontId="6" fillId="3" borderId="19" xfId="0" applyNumberFormat="1" applyFont="1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 vertical="center"/>
    </xf>
    <xf numFmtId="3" fontId="0" fillId="3" borderId="19" xfId="0" applyNumberFormat="1" applyFill="1" applyBorder="1" applyAlignment="1">
      <alignment horizontal="center" vertical="center"/>
    </xf>
    <xf numFmtId="3" fontId="0" fillId="3" borderId="20" xfId="0" applyNumberFormat="1" applyFill="1" applyBorder="1" applyAlignment="1">
      <alignment horizontal="center" vertical="center"/>
    </xf>
    <xf numFmtId="167" fontId="0" fillId="3" borderId="0" xfId="0" applyNumberFormat="1" applyFill="1" applyAlignment="1">
      <alignment horizontal="center" vertical="center"/>
    </xf>
    <xf numFmtId="0" fontId="12" fillId="3" borderId="27" xfId="0" applyFont="1" applyFill="1" applyBorder="1" applyAlignment="1">
      <alignment horizontal="center" vertical="center"/>
    </xf>
    <xf numFmtId="0" fontId="12" fillId="3" borderId="28" xfId="0" applyFont="1" applyFill="1" applyBorder="1" applyAlignment="1">
      <alignment horizontal="center" vertical="center"/>
    </xf>
    <xf numFmtId="0" fontId="12" fillId="3" borderId="29" xfId="0" applyFont="1" applyFill="1" applyBorder="1" applyAlignment="1">
      <alignment horizontal="center" vertical="center"/>
    </xf>
    <xf numFmtId="1" fontId="14" fillId="2" borderId="27" xfId="1" applyNumberFormat="1" applyFont="1" applyFill="1" applyBorder="1" applyAlignment="1">
      <alignment horizontal="center" vertical="center"/>
    </xf>
    <xf numFmtId="1" fontId="14" fillId="0" borderId="50" xfId="0" applyNumberFormat="1" applyFont="1" applyFill="1" applyBorder="1" applyAlignment="1">
      <alignment horizontal="center" vertical="center" wrapText="1"/>
    </xf>
    <xf numFmtId="1" fontId="6" fillId="2" borderId="27" xfId="6" applyNumberFormat="1" applyFont="1" applyFill="1" applyBorder="1" applyAlignment="1">
      <alignment horizontal="center" vertical="center"/>
    </xf>
    <xf numFmtId="1" fontId="14" fillId="0" borderId="51" xfId="0" applyNumberFormat="1" applyFont="1" applyFill="1" applyBorder="1" applyAlignment="1">
      <alignment horizontal="center" vertical="center" wrapText="1"/>
    </xf>
    <xf numFmtId="1" fontId="6" fillId="4" borderId="30" xfId="7" applyNumberFormat="1" applyFont="1" applyFill="1" applyBorder="1" applyAlignment="1">
      <alignment horizontal="center" vertical="center"/>
    </xf>
    <xf numFmtId="1" fontId="6" fillId="3" borderId="28" xfId="0" applyNumberFormat="1" applyFont="1" applyFill="1" applyBorder="1" applyAlignment="1">
      <alignment horizontal="center" vertical="center"/>
    </xf>
    <xf numFmtId="3" fontId="0" fillId="3" borderId="28" xfId="0" applyNumberFormat="1" applyFill="1" applyBorder="1" applyAlignment="1">
      <alignment horizontal="center" vertical="center"/>
    </xf>
    <xf numFmtId="3" fontId="0" fillId="3" borderId="29" xfId="0" applyNumberFormat="1" applyFill="1" applyBorder="1" applyAlignment="1">
      <alignment horizontal="center" vertical="center"/>
    </xf>
    <xf numFmtId="0" fontId="14" fillId="6" borderId="52" xfId="0" applyFont="1" applyFill="1" applyBorder="1" applyAlignment="1">
      <alignment horizontal="center" vertical="center"/>
    </xf>
    <xf numFmtId="0" fontId="14" fillId="6" borderId="36" xfId="0" applyFont="1" applyFill="1" applyBorder="1" applyAlignment="1">
      <alignment horizontal="center" vertical="center"/>
    </xf>
    <xf numFmtId="0" fontId="6" fillId="6" borderId="53" xfId="0" applyFont="1" applyFill="1" applyBorder="1" applyAlignment="1">
      <alignment horizontal="center" vertical="center"/>
    </xf>
    <xf numFmtId="0" fontId="6" fillId="6" borderId="52" xfId="0" applyFont="1" applyFill="1" applyBorder="1" applyAlignment="1">
      <alignment horizontal="center" vertical="center"/>
    </xf>
    <xf numFmtId="0" fontId="0" fillId="6" borderId="53" xfId="0" applyFill="1" applyBorder="1" applyAlignment="1">
      <alignment horizontal="center" vertical="center"/>
    </xf>
    <xf numFmtId="0" fontId="6" fillId="6" borderId="36" xfId="9" applyFill="1" applyBorder="1" applyAlignment="1">
      <alignment horizontal="center" vertical="center"/>
    </xf>
    <xf numFmtId="0" fontId="6" fillId="4" borderId="37" xfId="9" applyFill="1" applyBorder="1" applyAlignment="1">
      <alignment horizontal="center" vertical="center"/>
    </xf>
    <xf numFmtId="0" fontId="6" fillId="6" borderId="54" xfId="0" applyFont="1" applyFill="1" applyBorder="1" applyAlignment="1">
      <alignment horizontal="center" vertical="center"/>
    </xf>
    <xf numFmtId="1" fontId="14" fillId="0" borderId="40" xfId="6" applyNumberFormat="1" applyFont="1" applyFill="1" applyBorder="1" applyAlignment="1">
      <alignment horizontal="center" vertical="center"/>
    </xf>
    <xf numFmtId="1" fontId="14" fillId="0" borderId="41" xfId="0" applyNumberFormat="1" applyFont="1" applyFill="1" applyBorder="1" applyAlignment="1">
      <alignment horizontal="center" vertical="center"/>
    </xf>
    <xf numFmtId="1" fontId="14" fillId="3" borderId="41" xfId="0" applyNumberFormat="1" applyFont="1" applyFill="1" applyBorder="1" applyAlignment="1">
      <alignment horizontal="center" vertical="center"/>
    </xf>
    <xf numFmtId="1" fontId="18" fillId="0" borderId="55" xfId="0" applyNumberFormat="1" applyFont="1" applyFill="1" applyBorder="1" applyAlignment="1">
      <alignment horizontal="center" vertical="center"/>
    </xf>
    <xf numFmtId="1" fontId="18" fillId="0" borderId="56" xfId="0" applyNumberFormat="1" applyFont="1" applyBorder="1" applyAlignment="1">
      <alignment horizontal="center" vertical="center"/>
    </xf>
    <xf numFmtId="1" fontId="18" fillId="4" borderId="57" xfId="0" applyNumberFormat="1" applyFont="1" applyFill="1" applyBorder="1" applyAlignment="1">
      <alignment horizontal="center" vertical="center"/>
    </xf>
    <xf numFmtId="1" fontId="6" fillId="0" borderId="40" xfId="6" applyNumberFormat="1" applyFont="1" applyFill="1" applyBorder="1" applyAlignment="1">
      <alignment horizontal="center" vertical="center"/>
    </xf>
    <xf numFmtId="1" fontId="18" fillId="0" borderId="55" xfId="0" applyNumberFormat="1" applyFont="1" applyBorder="1" applyAlignment="1">
      <alignment horizontal="center" vertical="center"/>
    </xf>
    <xf numFmtId="1" fontId="18" fillId="0" borderId="56" xfId="0" applyNumberFormat="1" applyFont="1" applyFill="1" applyBorder="1" applyAlignment="1">
      <alignment horizontal="center" vertical="center"/>
    </xf>
    <xf numFmtId="1" fontId="0" fillId="3" borderId="41" xfId="0" applyNumberFormat="1" applyFill="1" applyBorder="1" applyAlignment="1">
      <alignment horizontal="center" vertical="center"/>
    </xf>
    <xf numFmtId="1" fontId="0" fillId="3" borderId="42" xfId="0" applyNumberFormat="1" applyFill="1" applyBorder="1" applyAlignment="1">
      <alignment horizontal="center" vertical="center"/>
    </xf>
    <xf numFmtId="1" fontId="0" fillId="3" borderId="47" xfId="0" applyNumberFormat="1" applyFill="1" applyBorder="1" applyAlignment="1">
      <alignment horizontal="center" vertical="center"/>
    </xf>
    <xf numFmtId="1" fontId="0" fillId="3" borderId="44" xfId="0" applyNumberFormat="1" applyFill="1" applyBorder="1" applyAlignment="1">
      <alignment horizontal="center" vertical="center"/>
    </xf>
    <xf numFmtId="1" fontId="0" fillId="0" borderId="41" xfId="0" applyNumberFormat="1" applyFill="1" applyBorder="1" applyAlignment="1">
      <alignment horizontal="center" vertical="center"/>
    </xf>
    <xf numFmtId="1" fontId="0" fillId="0" borderId="58" xfId="0" applyNumberFormat="1" applyFill="1" applyBorder="1" applyAlignment="1">
      <alignment horizontal="center" vertical="center"/>
    </xf>
    <xf numFmtId="43" fontId="5" fillId="3" borderId="0" xfId="1" applyNumberFormat="1" applyFont="1" applyFill="1" applyBorder="1" applyAlignment="1">
      <alignment horizontal="center" vertical="center"/>
    </xf>
    <xf numFmtId="166" fontId="5" fillId="3" borderId="0" xfId="1" applyNumberFormat="1" applyFont="1" applyFill="1" applyAlignment="1">
      <alignment horizontal="center" vertical="center"/>
    </xf>
    <xf numFmtId="9" fontId="16" fillId="3" borderId="0" xfId="0" applyNumberFormat="1" applyFont="1" applyFill="1" applyAlignment="1">
      <alignment vertical="center"/>
    </xf>
    <xf numFmtId="0" fontId="16" fillId="5" borderId="0" xfId="0" applyFont="1" applyFill="1" applyAlignment="1">
      <alignment vertical="center"/>
    </xf>
    <xf numFmtId="168" fontId="14" fillId="3" borderId="32" xfId="2" applyNumberFormat="1" applyFont="1" applyFill="1" applyBorder="1" applyAlignment="1">
      <alignment horizontal="center" vertical="center"/>
    </xf>
    <xf numFmtId="9" fontId="0" fillId="3" borderId="28" xfId="2" applyFont="1" applyFill="1" applyBorder="1" applyAlignment="1">
      <alignment horizontal="center" vertical="center"/>
    </xf>
    <xf numFmtId="9" fontId="0" fillId="3" borderId="29" xfId="2" applyFont="1" applyFill="1" applyBorder="1" applyAlignment="1">
      <alignment horizontal="center" vertical="center"/>
    </xf>
    <xf numFmtId="9" fontId="0" fillId="4" borderId="30" xfId="2" applyFont="1" applyFill="1" applyBorder="1" applyAlignment="1">
      <alignment horizontal="center" vertical="center"/>
    </xf>
    <xf numFmtId="9" fontId="0" fillId="3" borderId="27" xfId="2" applyFont="1" applyFill="1" applyBorder="1" applyAlignment="1">
      <alignment horizontal="center" vertical="center"/>
    </xf>
    <xf numFmtId="9" fontId="0" fillId="3" borderId="30" xfId="2" applyFont="1" applyFill="1" applyBorder="1" applyAlignment="1">
      <alignment horizontal="center" vertical="center"/>
    </xf>
    <xf numFmtId="0" fontId="19" fillId="7" borderId="59" xfId="0" applyFont="1" applyFill="1" applyBorder="1" applyAlignment="1">
      <alignment horizontal="center" vertical="center"/>
    </xf>
    <xf numFmtId="0" fontId="19" fillId="7" borderId="60" xfId="0" applyFont="1" applyFill="1" applyBorder="1" applyAlignment="1">
      <alignment horizontal="center" vertical="center"/>
    </xf>
    <xf numFmtId="0" fontId="19" fillId="7" borderId="61" xfId="0" applyFont="1" applyFill="1" applyBorder="1" applyAlignment="1">
      <alignment horizontal="center" vertical="center"/>
    </xf>
    <xf numFmtId="1" fontId="8" fillId="4" borderId="62" xfId="0" applyNumberFormat="1" applyFont="1" applyFill="1" applyBorder="1" applyAlignment="1">
      <alignment horizontal="center" vertical="center"/>
    </xf>
    <xf numFmtId="1" fontId="8" fillId="4" borderId="55" xfId="0" applyNumberFormat="1" applyFont="1" applyFill="1" applyBorder="1" applyAlignment="1">
      <alignment horizontal="center" vertical="center"/>
    </xf>
    <xf numFmtId="1" fontId="8" fillId="4" borderId="56" xfId="0" applyNumberFormat="1" applyFont="1" applyFill="1" applyBorder="1" applyAlignment="1">
      <alignment horizontal="center" vertical="center"/>
    </xf>
    <xf numFmtId="1" fontId="8" fillId="4" borderId="63" xfId="0" applyNumberFormat="1" applyFont="1" applyFill="1" applyBorder="1" applyAlignment="1">
      <alignment horizontal="center" vertical="center"/>
    </xf>
    <xf numFmtId="1" fontId="8" fillId="3" borderId="0" xfId="0" applyNumberFormat="1" applyFont="1" applyFill="1" applyBorder="1" applyAlignment="1">
      <alignment horizontal="center" vertical="center"/>
    </xf>
    <xf numFmtId="1" fontId="8" fillId="4" borderId="59" xfId="0" applyNumberFormat="1" applyFont="1" applyFill="1" applyBorder="1" applyAlignment="1">
      <alignment horizontal="center" vertical="center"/>
    </xf>
    <xf numFmtId="1" fontId="8" fillId="4" borderId="60" xfId="0" applyNumberFormat="1" applyFont="1" applyFill="1" applyBorder="1" applyAlignment="1">
      <alignment horizontal="center" vertical="center"/>
    </xf>
    <xf numFmtId="1" fontId="8" fillId="4" borderId="61" xfId="0" applyNumberFormat="1" applyFont="1" applyFill="1" applyBorder="1" applyAlignment="1">
      <alignment horizontal="center" vertical="center"/>
    </xf>
    <xf numFmtId="166" fontId="9" fillId="4" borderId="63" xfId="1" applyNumberFormat="1" applyFont="1" applyFill="1" applyBorder="1" applyAlignment="1">
      <alignment vertical="center"/>
    </xf>
    <xf numFmtId="167" fontId="5" fillId="2" borderId="0" xfId="1" applyNumberFormat="1" applyFont="1" applyFill="1" applyBorder="1" applyAlignment="1">
      <alignment horizontal="center" vertical="center"/>
    </xf>
    <xf numFmtId="43" fontId="5" fillId="3" borderId="0" xfId="1" applyNumberFormat="1" applyFont="1" applyFill="1" applyAlignment="1">
      <alignment horizontal="center" vertical="center"/>
    </xf>
    <xf numFmtId="167" fontId="20" fillId="3" borderId="0" xfId="1" applyNumberFormat="1" applyFont="1" applyFill="1" applyAlignment="1">
      <alignment horizontal="left" vertical="center"/>
    </xf>
    <xf numFmtId="0" fontId="21" fillId="3" borderId="0" xfId="0" applyFont="1" applyFill="1" applyAlignment="1">
      <alignment horizontal="center" vertical="center"/>
    </xf>
    <xf numFmtId="9" fontId="16" fillId="3" borderId="0" xfId="2" applyFont="1" applyFill="1" applyAlignment="1">
      <alignment horizontal="center" vertical="center"/>
    </xf>
    <xf numFmtId="168" fontId="21" fillId="3" borderId="0" xfId="2" applyNumberFormat="1" applyFont="1" applyFill="1" applyAlignment="1">
      <alignment horizontal="center" vertical="center"/>
    </xf>
    <xf numFmtId="1" fontId="16" fillId="3" borderId="0" xfId="0" applyNumberFormat="1" applyFont="1" applyFill="1" applyAlignment="1">
      <alignment horizontal="center" vertical="center"/>
    </xf>
    <xf numFmtId="0" fontId="22" fillId="8" borderId="33" xfId="0" applyFont="1" applyFill="1" applyBorder="1" applyAlignment="1">
      <alignment horizontal="center" vertical="center"/>
    </xf>
    <xf numFmtId="0" fontId="22" fillId="8" borderId="0" xfId="0" applyFont="1" applyFill="1" applyBorder="1" applyAlignment="1">
      <alignment horizontal="center" vertical="center"/>
    </xf>
    <xf numFmtId="1" fontId="23" fillId="9" borderId="64" xfId="0" applyNumberFormat="1" applyFont="1" applyFill="1" applyBorder="1" applyAlignment="1">
      <alignment horizontal="center" vertical="center"/>
    </xf>
    <xf numFmtId="1" fontId="23" fillId="9" borderId="61" xfId="0" applyNumberFormat="1" applyFont="1" applyFill="1" applyBorder="1" applyAlignment="1">
      <alignment horizontal="center" vertical="center"/>
    </xf>
    <xf numFmtId="1" fontId="23" fillId="9" borderId="60" xfId="0" applyNumberFormat="1" applyFont="1" applyFill="1" applyBorder="1" applyAlignment="1">
      <alignment horizontal="center" vertical="center"/>
    </xf>
    <xf numFmtId="1" fontId="23" fillId="9" borderId="38" xfId="0" applyNumberFormat="1" applyFont="1" applyFill="1" applyBorder="1" applyAlignment="1">
      <alignment horizontal="center" vertical="center"/>
    </xf>
    <xf numFmtId="1" fontId="23" fillId="9" borderId="63" xfId="0" applyNumberFormat="1" applyFont="1" applyFill="1" applyBorder="1" applyAlignment="1">
      <alignment horizontal="center" vertical="center"/>
    </xf>
    <xf numFmtId="1" fontId="23" fillId="3" borderId="0" xfId="0" applyNumberFormat="1" applyFont="1" applyFill="1" applyBorder="1" applyAlignment="1">
      <alignment horizontal="center" vertical="center"/>
    </xf>
    <xf numFmtId="1" fontId="23" fillId="9" borderId="39" xfId="0" applyNumberFormat="1" applyFont="1" applyFill="1" applyBorder="1" applyAlignment="1">
      <alignment horizontal="center" vertical="center"/>
    </xf>
    <xf numFmtId="10" fontId="23" fillId="3" borderId="0" xfId="4" applyNumberFormat="1" applyFont="1" applyFill="1" applyBorder="1" applyAlignment="1">
      <alignment horizontal="center" vertical="center"/>
    </xf>
    <xf numFmtId="1" fontId="23" fillId="9" borderId="65" xfId="0" applyNumberFormat="1" applyFont="1" applyFill="1" applyBorder="1" applyAlignment="1">
      <alignment horizontal="center" vertical="center"/>
    </xf>
    <xf numFmtId="10" fontId="23" fillId="3" borderId="0" xfId="5" applyNumberFormat="1" applyFont="1" applyFill="1" applyBorder="1" applyAlignment="1">
      <alignment horizontal="center" vertical="center"/>
    </xf>
    <xf numFmtId="43" fontId="22" fillId="3" borderId="0" xfId="1" applyNumberFormat="1" applyFont="1" applyFill="1" applyBorder="1" applyAlignment="1">
      <alignment horizontal="center" vertical="center"/>
    </xf>
    <xf numFmtId="1" fontId="22" fillId="3" borderId="0" xfId="0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64" fontId="7" fillId="3" borderId="40" xfId="0" applyNumberFormat="1" applyFont="1" applyFill="1" applyBorder="1" applyAlignment="1">
      <alignment horizontal="center" vertical="center"/>
    </xf>
    <xf numFmtId="164" fontId="7" fillId="3" borderId="41" xfId="0" applyNumberFormat="1" applyFont="1" applyFill="1" applyBorder="1" applyAlignment="1">
      <alignment horizontal="center" vertical="center"/>
    </xf>
    <xf numFmtId="164" fontId="7" fillId="3" borderId="42" xfId="0" applyNumberFormat="1" applyFont="1" applyFill="1" applyBorder="1" applyAlignment="1">
      <alignment horizontal="center" vertical="center"/>
    </xf>
    <xf numFmtId="1" fontId="6" fillId="0" borderId="66" xfId="6" applyNumberFormat="1" applyFont="1" applyFill="1" applyBorder="1" applyAlignment="1">
      <alignment horizontal="center" vertical="center"/>
    </xf>
    <xf numFmtId="1" fontId="6" fillId="0" borderId="67" xfId="0" applyNumberFormat="1" applyFont="1" applyBorder="1" applyAlignment="1">
      <alignment horizontal="center" vertical="center"/>
    </xf>
    <xf numFmtId="1" fontId="6" fillId="0" borderId="68" xfId="0" applyNumberFormat="1" applyFont="1" applyBorder="1" applyAlignment="1">
      <alignment horizontal="center" vertical="center"/>
    </xf>
    <xf numFmtId="1" fontId="6" fillId="4" borderId="45" xfId="0" applyNumberFormat="1" applyFont="1" applyFill="1" applyBorder="1" applyAlignment="1">
      <alignment horizontal="center" vertical="center"/>
    </xf>
    <xf numFmtId="1" fontId="6" fillId="3" borderId="0" xfId="0" applyNumberFormat="1" applyFont="1" applyFill="1" applyBorder="1" applyAlignment="1">
      <alignment horizontal="center" vertical="center"/>
    </xf>
    <xf numFmtId="1" fontId="6" fillId="0" borderId="47" xfId="0" applyNumberFormat="1" applyFont="1" applyBorder="1" applyAlignment="1">
      <alignment horizontal="center" vertical="center"/>
    </xf>
    <xf numFmtId="1" fontId="6" fillId="0" borderId="41" xfId="0" applyNumberFormat="1" applyFont="1" applyBorder="1" applyAlignment="1">
      <alignment horizontal="center" vertical="center"/>
    </xf>
    <xf numFmtId="1" fontId="6" fillId="0" borderId="42" xfId="0" applyNumberFormat="1" applyFont="1" applyBorder="1" applyAlignment="1">
      <alignment horizontal="center" vertical="center"/>
    </xf>
    <xf numFmtId="1" fontId="0" fillId="0" borderId="58" xfId="0" applyNumberFormat="1" applyFont="1" applyBorder="1" applyAlignment="1">
      <alignment horizontal="center" vertical="center"/>
    </xf>
    <xf numFmtId="1" fontId="6" fillId="0" borderId="19" xfId="0" applyNumberFormat="1" applyFont="1" applyBorder="1" applyAlignment="1">
      <alignment horizontal="center" vertical="center"/>
    </xf>
    <xf numFmtId="1" fontId="6" fillId="0" borderId="58" xfId="0" applyNumberFormat="1" applyFont="1" applyBorder="1" applyAlignment="1">
      <alignment horizontal="center" vertical="center"/>
    </xf>
    <xf numFmtId="1" fontId="6" fillId="4" borderId="13" xfId="0" applyNumberFormat="1" applyFont="1" applyFill="1" applyBorder="1" applyAlignment="1">
      <alignment horizontal="center" vertical="center"/>
    </xf>
    <xf numFmtId="167" fontId="5" fillId="3" borderId="0" xfId="1" applyNumberFormat="1" applyFont="1" applyFill="1" applyBorder="1" applyAlignment="1">
      <alignment horizontal="center" vertical="center"/>
    </xf>
    <xf numFmtId="1" fontId="24" fillId="3" borderId="0" xfId="0" applyNumberFormat="1" applyFont="1" applyFill="1" applyAlignment="1">
      <alignment horizontal="center" vertical="center"/>
    </xf>
    <xf numFmtId="14" fontId="21" fillId="3" borderId="18" xfId="0" applyNumberFormat="1" applyFont="1" applyFill="1" applyBorder="1" applyAlignment="1">
      <alignment horizontal="center" vertical="center" wrapText="1"/>
    </xf>
    <xf numFmtId="14" fontId="21" fillId="3" borderId="19" xfId="0" applyNumberFormat="1" applyFont="1" applyFill="1" applyBorder="1" applyAlignment="1">
      <alignment horizontal="center" vertical="center" wrapText="1"/>
    </xf>
    <xf numFmtId="14" fontId="21" fillId="3" borderId="20" xfId="0" applyNumberFormat="1" applyFont="1" applyFill="1" applyBorder="1" applyAlignment="1">
      <alignment horizontal="center" vertical="center" wrapText="1"/>
    </xf>
    <xf numFmtId="10" fontId="11" fillId="3" borderId="23" xfId="5" applyNumberFormat="1" applyFont="1" applyFill="1" applyBorder="1" applyAlignment="1">
      <alignment horizontal="center" vertical="center"/>
    </xf>
    <xf numFmtId="10" fontId="11" fillId="3" borderId="19" xfId="5" applyNumberFormat="1" applyFont="1" applyFill="1" applyBorder="1" applyAlignment="1">
      <alignment horizontal="center" vertical="center"/>
    </xf>
    <xf numFmtId="10" fontId="11" fillId="3" borderId="20" xfId="5" applyNumberFormat="1" applyFont="1" applyFill="1" applyBorder="1" applyAlignment="1">
      <alignment horizontal="center" vertical="center"/>
    </xf>
    <xf numFmtId="10" fontId="11" fillId="4" borderId="21" xfId="5" applyNumberFormat="1" applyFont="1" applyFill="1" applyBorder="1" applyAlignment="1">
      <alignment horizontal="center" vertical="center"/>
    </xf>
    <xf numFmtId="9" fontId="11" fillId="3" borderId="23" xfId="5" applyNumberFormat="1" applyFont="1" applyFill="1" applyBorder="1" applyAlignment="1">
      <alignment horizontal="center" vertical="center"/>
    </xf>
    <xf numFmtId="9" fontId="11" fillId="3" borderId="20" xfId="5" applyNumberFormat="1" applyFont="1" applyFill="1" applyBorder="1" applyAlignment="1">
      <alignment horizontal="center" vertical="center"/>
    </xf>
    <xf numFmtId="10" fontId="11" fillId="3" borderId="69" xfId="5" applyNumberFormat="1" applyFont="1" applyFill="1" applyBorder="1" applyAlignment="1">
      <alignment horizontal="center" vertical="center"/>
    </xf>
    <xf numFmtId="168" fontId="11" fillId="4" borderId="21" xfId="2" applyNumberFormat="1" applyFont="1" applyFill="1" applyBorder="1" applyAlignment="1">
      <alignment horizontal="center" vertical="center"/>
    </xf>
    <xf numFmtId="10" fontId="11" fillId="3" borderId="21" xfId="5" applyNumberFormat="1" applyFont="1" applyFill="1" applyBorder="1" applyAlignment="1">
      <alignment horizontal="center" vertical="center"/>
    </xf>
    <xf numFmtId="166" fontId="19" fillId="3" borderId="0" xfId="1" applyNumberFormat="1" applyFont="1" applyFill="1" applyAlignment="1">
      <alignment horizontal="center" vertical="center"/>
    </xf>
    <xf numFmtId="166" fontId="16" fillId="3" borderId="0" xfId="1" applyNumberFormat="1" applyFont="1" applyFill="1" applyAlignment="1">
      <alignment horizontal="center" vertical="center"/>
    </xf>
    <xf numFmtId="164" fontId="7" fillId="3" borderId="18" xfId="0" applyNumberFormat="1" applyFont="1" applyFill="1" applyBorder="1" applyAlignment="1">
      <alignment horizontal="center" vertical="center"/>
    </xf>
    <xf numFmtId="164" fontId="7" fillId="3" borderId="19" xfId="0" applyNumberFormat="1" applyFont="1" applyFill="1" applyBorder="1" applyAlignment="1">
      <alignment horizontal="center" vertical="center"/>
    </xf>
    <xf numFmtId="164" fontId="7" fillId="3" borderId="20" xfId="0" applyNumberFormat="1" applyFont="1" applyFill="1" applyBorder="1" applyAlignment="1">
      <alignment horizontal="center" vertical="center"/>
    </xf>
    <xf numFmtId="1" fontId="6" fillId="0" borderId="20" xfId="0" applyNumberFormat="1" applyFont="1" applyBorder="1" applyAlignment="1">
      <alignment horizontal="center" vertical="center"/>
    </xf>
    <xf numFmtId="1" fontId="6" fillId="4" borderId="21" xfId="0" applyNumberFormat="1" applyFont="1" applyFill="1" applyBorder="1" applyAlignment="1">
      <alignment horizontal="center" vertical="center"/>
    </xf>
    <xf numFmtId="1" fontId="6" fillId="3" borderId="18" xfId="7" applyNumberFormat="1" applyFont="1" applyFill="1" applyBorder="1" applyAlignment="1">
      <alignment horizontal="center" vertical="center"/>
    </xf>
    <xf numFmtId="1" fontId="0" fillId="0" borderId="18" xfId="0" applyNumberFormat="1" applyFont="1" applyFill="1" applyBorder="1" applyAlignment="1">
      <alignment horizontal="center" vertical="center"/>
    </xf>
    <xf numFmtId="1" fontId="0" fillId="0" borderId="19" xfId="0" applyNumberFormat="1" applyFont="1" applyFill="1" applyBorder="1" applyAlignment="1">
      <alignment horizontal="center" vertical="center"/>
    </xf>
    <xf numFmtId="2" fontId="16" fillId="3" borderId="0" xfId="0" applyNumberFormat="1" applyFont="1" applyFill="1" applyAlignment="1">
      <alignment horizontal="center" vertical="center"/>
    </xf>
    <xf numFmtId="43" fontId="5" fillId="3" borderId="0" xfId="1" applyFont="1" applyFill="1" applyBorder="1" applyAlignment="1">
      <alignment horizontal="center" vertical="center"/>
    </xf>
    <xf numFmtId="166" fontId="16" fillId="3" borderId="0" xfId="0" applyNumberFormat="1" applyFont="1" applyFill="1" applyAlignment="1">
      <alignment horizontal="center" vertical="center"/>
    </xf>
    <xf numFmtId="14" fontId="16" fillId="3" borderId="27" xfId="0" applyNumberFormat="1" applyFont="1" applyFill="1" applyBorder="1" applyAlignment="1">
      <alignment horizontal="center" vertical="center" wrapText="1"/>
    </xf>
    <xf numFmtId="14" fontId="16" fillId="3" borderId="28" xfId="0" applyNumberFormat="1" applyFont="1" applyFill="1" applyBorder="1" applyAlignment="1">
      <alignment horizontal="center" vertical="center" wrapText="1"/>
    </xf>
    <xf numFmtId="14" fontId="16" fillId="3" borderId="29" xfId="0" applyNumberFormat="1" applyFont="1" applyFill="1" applyBorder="1" applyAlignment="1">
      <alignment horizontal="center" vertical="center" wrapText="1"/>
    </xf>
    <xf numFmtId="10" fontId="11" fillId="3" borderId="27" xfId="5" applyNumberFormat="1" applyFont="1" applyFill="1" applyBorder="1" applyAlignment="1">
      <alignment horizontal="center" vertical="center"/>
    </xf>
    <xf numFmtId="10" fontId="11" fillId="3" borderId="29" xfId="5" applyNumberFormat="1" applyFont="1" applyFill="1" applyBorder="1" applyAlignment="1">
      <alignment horizontal="center" vertical="center"/>
    </xf>
    <xf numFmtId="10" fontId="11" fillId="4" borderId="30" xfId="5" applyNumberFormat="1" applyFont="1" applyFill="1" applyBorder="1" applyAlignment="1">
      <alignment horizontal="center" vertical="center"/>
    </xf>
    <xf numFmtId="9" fontId="11" fillId="3" borderId="32" xfId="5" applyNumberFormat="1" applyFont="1" applyFill="1" applyBorder="1" applyAlignment="1">
      <alignment horizontal="center" vertical="center"/>
    </xf>
    <xf numFmtId="9" fontId="11" fillId="3" borderId="29" xfId="5" applyNumberFormat="1" applyFont="1" applyFill="1" applyBorder="1" applyAlignment="1">
      <alignment horizontal="center" vertical="center"/>
    </xf>
    <xf numFmtId="10" fontId="11" fillId="3" borderId="32" xfId="5" applyNumberFormat="1" applyFont="1" applyFill="1" applyBorder="1" applyAlignment="1">
      <alignment horizontal="center" vertical="center"/>
    </xf>
    <xf numFmtId="10" fontId="11" fillId="3" borderId="28" xfId="5" applyNumberFormat="1" applyFont="1" applyFill="1" applyBorder="1" applyAlignment="1">
      <alignment horizontal="center" vertical="center"/>
    </xf>
    <xf numFmtId="10" fontId="11" fillId="3" borderId="70" xfId="5" applyNumberFormat="1" applyFont="1" applyFill="1" applyBorder="1" applyAlignment="1">
      <alignment horizontal="center" vertical="center"/>
    </xf>
    <xf numFmtId="168" fontId="11" fillId="4" borderId="30" xfId="2" applyNumberFormat="1" applyFont="1" applyFill="1" applyBorder="1" applyAlignment="1">
      <alignment horizontal="center" vertical="center"/>
    </xf>
    <xf numFmtId="10" fontId="11" fillId="3" borderId="30" xfId="5" applyNumberFormat="1" applyFont="1" applyFill="1" applyBorder="1" applyAlignment="1">
      <alignment horizontal="center" vertical="center"/>
    </xf>
    <xf numFmtId="167" fontId="5" fillId="3" borderId="0" xfId="0" applyNumberFormat="1" applyFont="1" applyFill="1" applyAlignment="1">
      <alignment horizontal="center" vertical="center"/>
    </xf>
    <xf numFmtId="0" fontId="16" fillId="5" borderId="33" xfId="0" applyFont="1" applyFill="1" applyBorder="1" applyAlignment="1">
      <alignment horizontal="center" vertical="center"/>
    </xf>
    <xf numFmtId="0" fontId="16" fillId="5" borderId="0" xfId="0" applyFont="1" applyFill="1" applyBorder="1" applyAlignment="1">
      <alignment horizontal="center" vertical="center"/>
    </xf>
    <xf numFmtId="1" fontId="6" fillId="9" borderId="64" xfId="0" applyNumberFormat="1" applyFont="1" applyFill="1" applyBorder="1" applyAlignment="1">
      <alignment horizontal="center" vertical="center"/>
    </xf>
    <xf numFmtId="1" fontId="6" fillId="9" borderId="61" xfId="0" applyNumberFormat="1" applyFont="1" applyFill="1" applyBorder="1" applyAlignment="1">
      <alignment horizontal="center" vertical="center"/>
    </xf>
    <xf numFmtId="1" fontId="6" fillId="9" borderId="60" xfId="0" applyNumberFormat="1" applyFont="1" applyFill="1" applyBorder="1" applyAlignment="1">
      <alignment horizontal="center" vertical="center"/>
    </xf>
    <xf numFmtId="1" fontId="6" fillId="9" borderId="38" xfId="0" applyNumberFormat="1" applyFont="1" applyFill="1" applyBorder="1" applyAlignment="1">
      <alignment horizontal="center" vertical="center"/>
    </xf>
    <xf numFmtId="1" fontId="6" fillId="9" borderId="63" xfId="0" applyNumberFormat="1" applyFont="1" applyFill="1" applyBorder="1" applyAlignment="1">
      <alignment horizontal="center" vertical="center"/>
    </xf>
    <xf numFmtId="1" fontId="6" fillId="9" borderId="39" xfId="0" applyNumberFormat="1" applyFont="1" applyFill="1" applyBorder="1" applyAlignment="1">
      <alignment horizontal="center" vertical="center"/>
    </xf>
    <xf numFmtId="43" fontId="5" fillId="3" borderId="0" xfId="0" applyNumberFormat="1" applyFont="1" applyFill="1" applyAlignment="1">
      <alignment horizontal="center" vertical="center"/>
    </xf>
    <xf numFmtId="0" fontId="7" fillId="10" borderId="40" xfId="0" applyFont="1" applyFill="1" applyBorder="1" applyAlignment="1">
      <alignment horizontal="center" vertical="center"/>
    </xf>
    <xf numFmtId="0" fontId="7" fillId="10" borderId="41" xfId="0" applyFont="1" applyFill="1" applyBorder="1" applyAlignment="1">
      <alignment horizontal="center" vertical="center"/>
    </xf>
    <xf numFmtId="0" fontId="7" fillId="10" borderId="42" xfId="0" applyFont="1" applyFill="1" applyBorder="1" applyAlignment="1">
      <alignment horizontal="center" vertical="center"/>
    </xf>
    <xf numFmtId="0" fontId="0" fillId="10" borderId="47" xfId="3" applyFont="1" applyFill="1" applyBorder="1" applyAlignment="1">
      <alignment horizontal="center" vertical="center"/>
    </xf>
    <xf numFmtId="0" fontId="6" fillId="10" borderId="41" xfId="3" applyFill="1" applyBorder="1" applyAlignment="1">
      <alignment horizontal="center" vertical="center"/>
    </xf>
    <xf numFmtId="0" fontId="6" fillId="10" borderId="58" xfId="3" applyFill="1" applyBorder="1" applyAlignment="1">
      <alignment horizontal="center" vertical="center"/>
    </xf>
    <xf numFmtId="0" fontId="8" fillId="10" borderId="45" xfId="3" applyFont="1" applyFill="1" applyBorder="1" applyAlignment="1">
      <alignment horizontal="center" vertical="center"/>
    </xf>
    <xf numFmtId="0" fontId="6" fillId="10" borderId="47" xfId="3" applyFill="1" applyBorder="1" applyAlignment="1">
      <alignment horizontal="center" vertical="center"/>
    </xf>
    <xf numFmtId="1" fontId="8" fillId="10" borderId="45" xfId="3" applyNumberFormat="1" applyFont="1" applyFill="1" applyBorder="1" applyAlignment="1">
      <alignment horizontal="center" vertical="center"/>
    </xf>
    <xf numFmtId="167" fontId="25" fillId="10" borderId="45" xfId="10" applyNumberFormat="1" applyFont="1" applyFill="1" applyBorder="1" applyAlignment="1">
      <alignment horizontal="center" vertical="center"/>
    </xf>
    <xf numFmtId="3" fontId="0" fillId="0" borderId="0" xfId="0" applyNumberFormat="1"/>
    <xf numFmtId="0" fontId="16" fillId="3" borderId="18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/>
    </xf>
    <xf numFmtId="1" fontId="6" fillId="0" borderId="18" xfId="3" applyNumberFormat="1" applyBorder="1" applyAlignment="1">
      <alignment horizontal="center" vertical="center"/>
    </xf>
    <xf numFmtId="1" fontId="0" fillId="2" borderId="20" xfId="0" applyNumberFormat="1" applyFill="1" applyBorder="1" applyAlignment="1">
      <alignment horizontal="center" vertical="center"/>
    </xf>
    <xf numFmtId="1" fontId="18" fillId="0" borderId="19" xfId="3" applyNumberFormat="1" applyFont="1" applyBorder="1" applyAlignment="1">
      <alignment horizontal="center"/>
    </xf>
    <xf numFmtId="1" fontId="18" fillId="0" borderId="20" xfId="3" applyNumberFormat="1" applyFont="1" applyBorder="1" applyAlignment="1">
      <alignment horizontal="center"/>
    </xf>
    <xf numFmtId="1" fontId="8" fillId="4" borderId="21" xfId="3" applyNumberFormat="1" applyFont="1" applyFill="1" applyBorder="1" applyAlignment="1">
      <alignment horizontal="center"/>
    </xf>
    <xf numFmtId="1" fontId="0" fillId="3" borderId="18" xfId="11" applyNumberFormat="1" applyFont="1" applyFill="1" applyBorder="1" applyAlignment="1">
      <alignment horizontal="center" vertical="center"/>
    </xf>
    <xf numFmtId="1" fontId="0" fillId="3" borderId="19" xfId="11" applyNumberFormat="1" applyFont="1" applyFill="1" applyBorder="1" applyAlignment="1">
      <alignment horizontal="center" vertical="center"/>
    </xf>
    <xf numFmtId="0" fontId="0" fillId="3" borderId="19" xfId="11" applyFont="1" applyFill="1" applyBorder="1" applyAlignment="1">
      <alignment horizontal="center" vertical="center"/>
    </xf>
    <xf numFmtId="1" fontId="0" fillId="3" borderId="20" xfId="11" applyNumberFormat="1" applyFont="1" applyFill="1" applyBorder="1" applyAlignment="1">
      <alignment horizontal="center" vertical="center"/>
    </xf>
    <xf numFmtId="1" fontId="8" fillId="4" borderId="21" xfId="11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1" fontId="8" fillId="4" borderId="21" xfId="0" applyNumberFormat="1" applyFont="1" applyFill="1" applyBorder="1" applyAlignment="1">
      <alignment horizontal="center" vertical="center"/>
    </xf>
    <xf numFmtId="167" fontId="16" fillId="3" borderId="21" xfId="10" applyNumberFormat="1" applyFont="1" applyFill="1" applyBorder="1" applyAlignment="1">
      <alignment horizontal="center" vertical="center"/>
    </xf>
    <xf numFmtId="169" fontId="5" fillId="3" borderId="0" xfId="2" applyNumberFormat="1" applyFont="1" applyFill="1" applyBorder="1" applyAlignment="1">
      <alignment horizontal="center" vertical="center"/>
    </xf>
    <xf numFmtId="2" fontId="0" fillId="3" borderId="0" xfId="1" applyNumberFormat="1" applyFont="1" applyFill="1" applyAlignment="1">
      <alignment horizontal="center"/>
    </xf>
    <xf numFmtId="0" fontId="16" fillId="3" borderId="27" xfId="0" applyFont="1" applyFill="1" applyBorder="1" applyAlignment="1">
      <alignment horizontal="center" vertical="center"/>
    </xf>
    <xf numFmtId="0" fontId="16" fillId="3" borderId="28" xfId="0" applyFont="1" applyFill="1" applyBorder="1" applyAlignment="1">
      <alignment horizontal="center" vertical="center"/>
    </xf>
    <xf numFmtId="0" fontId="16" fillId="3" borderId="29" xfId="0" applyFont="1" applyFill="1" applyBorder="1" applyAlignment="1">
      <alignment horizontal="center" vertical="center"/>
    </xf>
    <xf numFmtId="9" fontId="11" fillId="3" borderId="27" xfId="5" applyNumberFormat="1" applyFont="1" applyFill="1" applyBorder="1" applyAlignment="1">
      <alignment horizontal="center" vertical="center"/>
    </xf>
    <xf numFmtId="9" fontId="11" fillId="3" borderId="28" xfId="5" applyNumberFormat="1" applyFont="1" applyFill="1" applyBorder="1" applyAlignment="1">
      <alignment horizontal="center" vertical="center"/>
    </xf>
    <xf numFmtId="9" fontId="11" fillId="4" borderId="30" xfId="5" applyNumberFormat="1" applyFont="1" applyFill="1" applyBorder="1" applyAlignment="1">
      <alignment horizontal="center" vertical="center"/>
    </xf>
    <xf numFmtId="9" fontId="11" fillId="3" borderId="35" xfId="5" applyNumberFormat="1" applyFont="1" applyFill="1" applyBorder="1" applyAlignment="1">
      <alignment horizontal="center" vertical="center"/>
    </xf>
    <xf numFmtId="9" fontId="11" fillId="3" borderId="71" xfId="5" applyNumberFormat="1" applyFont="1" applyFill="1" applyBorder="1" applyAlignment="1">
      <alignment horizontal="center" vertical="center"/>
    </xf>
    <xf numFmtId="9" fontId="11" fillId="3" borderId="72" xfId="5" applyNumberFormat="1" applyFont="1" applyFill="1" applyBorder="1" applyAlignment="1">
      <alignment horizontal="center" vertical="center"/>
    </xf>
    <xf numFmtId="9" fontId="11" fillId="3" borderId="73" xfId="5" applyNumberFormat="1" applyFont="1" applyFill="1" applyBorder="1" applyAlignment="1">
      <alignment horizontal="center" vertical="center"/>
    </xf>
    <xf numFmtId="9" fontId="11" fillId="3" borderId="74" xfId="5" applyNumberFormat="1" applyFont="1" applyFill="1" applyBorder="1" applyAlignment="1">
      <alignment horizontal="center" vertical="center"/>
    </xf>
    <xf numFmtId="9" fontId="11" fillId="4" borderId="30" xfId="2" applyNumberFormat="1" applyFont="1" applyFill="1" applyBorder="1" applyAlignment="1">
      <alignment horizontal="center" vertical="center"/>
    </xf>
    <xf numFmtId="168" fontId="26" fillId="3" borderId="30" xfId="5" applyNumberFormat="1" applyFont="1" applyFill="1" applyBorder="1" applyAlignment="1">
      <alignment horizontal="center" vertical="center"/>
    </xf>
    <xf numFmtId="170" fontId="7" fillId="11" borderId="40" xfId="0" applyNumberFormat="1" applyFont="1" applyFill="1" applyBorder="1" applyAlignment="1">
      <alignment horizontal="center" vertical="center"/>
    </xf>
    <xf numFmtId="170" fontId="7" fillId="11" borderId="41" xfId="0" applyNumberFormat="1" applyFont="1" applyFill="1" applyBorder="1" applyAlignment="1">
      <alignment horizontal="center" vertical="center"/>
    </xf>
    <xf numFmtId="170" fontId="7" fillId="11" borderId="42" xfId="0" applyNumberFormat="1" applyFont="1" applyFill="1" applyBorder="1" applyAlignment="1">
      <alignment horizontal="center" vertical="center"/>
    </xf>
    <xf numFmtId="1" fontId="27" fillId="11" borderId="39" xfId="0" applyNumberFormat="1" applyFont="1" applyFill="1" applyBorder="1" applyAlignment="1">
      <alignment horizontal="center" vertical="center"/>
    </xf>
    <xf numFmtId="1" fontId="27" fillId="11" borderId="61" xfId="0" applyNumberFormat="1" applyFont="1" applyFill="1" applyBorder="1" applyAlignment="1">
      <alignment horizontal="center" vertical="center"/>
    </xf>
    <xf numFmtId="1" fontId="27" fillId="11" borderId="60" xfId="0" applyNumberFormat="1" applyFont="1" applyFill="1" applyBorder="1" applyAlignment="1">
      <alignment horizontal="center" vertical="center"/>
    </xf>
    <xf numFmtId="1" fontId="27" fillId="11" borderId="38" xfId="0" applyNumberFormat="1" applyFont="1" applyFill="1" applyBorder="1" applyAlignment="1">
      <alignment horizontal="center" vertical="center"/>
    </xf>
    <xf numFmtId="1" fontId="27" fillId="4" borderId="63" xfId="0" applyNumberFormat="1" applyFont="1" applyFill="1" applyBorder="1" applyAlignment="1">
      <alignment horizontal="center" vertical="center"/>
    </xf>
    <xf numFmtId="1" fontId="27" fillId="11" borderId="75" xfId="0" applyNumberFormat="1" applyFont="1" applyFill="1" applyBorder="1" applyAlignment="1">
      <alignment horizontal="center" vertical="center"/>
    </xf>
    <xf numFmtId="167" fontId="28" fillId="3" borderId="0" xfId="1" applyNumberFormat="1" applyFont="1" applyFill="1" applyBorder="1" applyAlignment="1">
      <alignment horizontal="center" vertical="center"/>
    </xf>
    <xf numFmtId="43" fontId="28" fillId="3" borderId="0" xfId="0" applyNumberFormat="1" applyFont="1" applyFill="1" applyAlignment="1">
      <alignment horizontal="center" vertical="center"/>
    </xf>
    <xf numFmtId="167" fontId="28" fillId="3" borderId="0" xfId="0" applyNumberFormat="1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171" fontId="28" fillId="3" borderId="0" xfId="0" applyNumberFormat="1" applyFont="1" applyFill="1" applyAlignment="1">
      <alignment horizontal="center" vertical="center"/>
    </xf>
    <xf numFmtId="1" fontId="28" fillId="3" borderId="0" xfId="0" applyNumberFormat="1" applyFont="1" applyFill="1" applyAlignment="1">
      <alignment horizontal="center"/>
    </xf>
    <xf numFmtId="1" fontId="28" fillId="3" borderId="0" xfId="0" applyNumberFormat="1" applyFont="1" applyFill="1" applyAlignment="1">
      <alignment horizontal="center" vertical="center"/>
    </xf>
    <xf numFmtId="0" fontId="16" fillId="3" borderId="47" xfId="0" applyFont="1" applyFill="1" applyBorder="1" applyAlignment="1">
      <alignment horizontal="center" vertical="center"/>
    </xf>
    <xf numFmtId="0" fontId="16" fillId="3" borderId="58" xfId="0" applyFont="1" applyFill="1" applyBorder="1" applyAlignment="1">
      <alignment horizontal="center" vertical="center"/>
    </xf>
    <xf numFmtId="1" fontId="0" fillId="3" borderId="41" xfId="3" applyNumberFormat="1" applyFont="1" applyFill="1" applyBorder="1" applyAlignment="1">
      <alignment horizontal="center" vertical="center"/>
    </xf>
    <xf numFmtId="1" fontId="29" fillId="3" borderId="42" xfId="8" applyNumberFormat="1" applyFont="1" applyFill="1" applyBorder="1" applyAlignment="1">
      <alignment horizontal="center" vertical="center"/>
    </xf>
    <xf numFmtId="1" fontId="29" fillId="4" borderId="45" xfId="8" applyNumberFormat="1" applyFont="1" applyFill="1" applyBorder="1" applyAlignment="1">
      <alignment horizontal="center" vertical="center"/>
    </xf>
    <xf numFmtId="1" fontId="6" fillId="3" borderId="66" xfId="7" applyNumberFormat="1" applyFont="1" applyFill="1" applyBorder="1" applyAlignment="1">
      <alignment horizontal="center" vertical="center"/>
    </xf>
    <xf numFmtId="0" fontId="0" fillId="3" borderId="67" xfId="0" applyFill="1" applyBorder="1" applyAlignment="1">
      <alignment horizontal="center" vertical="center"/>
    </xf>
    <xf numFmtId="1" fontId="6" fillId="3" borderId="67" xfId="7" applyNumberFormat="1" applyFont="1" applyFill="1" applyBorder="1" applyAlignment="1">
      <alignment horizontal="center" vertical="center"/>
    </xf>
    <xf numFmtId="0" fontId="29" fillId="3" borderId="67" xfId="0" applyFont="1" applyFill="1" applyBorder="1" applyAlignment="1">
      <alignment horizontal="center" vertical="center"/>
    </xf>
    <xf numFmtId="0" fontId="29" fillId="3" borderId="68" xfId="0" applyFont="1" applyFill="1" applyBorder="1" applyAlignment="1">
      <alignment horizontal="center" vertical="center"/>
    </xf>
    <xf numFmtId="0" fontId="29" fillId="4" borderId="45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76" xfId="0" applyFill="1" applyBorder="1" applyAlignment="1">
      <alignment horizontal="center" vertical="center"/>
    </xf>
    <xf numFmtId="1" fontId="6" fillId="3" borderId="68" xfId="7" applyNumberFormat="1" applyFont="1" applyFill="1" applyBorder="1" applyAlignment="1">
      <alignment horizontal="center" vertical="center"/>
    </xf>
    <xf numFmtId="169" fontId="5" fillId="3" borderId="0" xfId="1" applyNumberFormat="1" applyFont="1" applyFill="1" applyBorder="1" applyAlignment="1">
      <alignment horizontal="center" vertical="center"/>
    </xf>
    <xf numFmtId="166" fontId="27" fillId="3" borderId="0" xfId="1" applyNumberFormat="1" applyFont="1" applyFill="1" applyAlignment="1">
      <alignment horizontal="center" vertical="center"/>
    </xf>
    <xf numFmtId="3" fontId="5" fillId="3" borderId="0" xfId="0" applyNumberFormat="1" applyFont="1" applyFill="1" applyAlignment="1">
      <alignment horizontal="center" vertical="center"/>
    </xf>
    <xf numFmtId="43" fontId="16" fillId="3" borderId="0" xfId="0" applyNumberFormat="1" applyFont="1" applyFill="1" applyAlignment="1">
      <alignment horizontal="center" vertical="center"/>
    </xf>
    <xf numFmtId="172" fontId="0" fillId="3" borderId="0" xfId="0" applyNumberFormat="1" applyFill="1" applyAlignment="1">
      <alignment horizontal="center" vertical="center"/>
    </xf>
    <xf numFmtId="0" fontId="16" fillId="3" borderId="32" xfId="0" applyFont="1" applyFill="1" applyBorder="1" applyAlignment="1">
      <alignment horizontal="center" vertical="center"/>
    </xf>
    <xf numFmtId="0" fontId="16" fillId="3" borderId="70" xfId="0" applyFont="1" applyFill="1" applyBorder="1" applyAlignment="1">
      <alignment horizontal="center" vertical="center"/>
    </xf>
    <xf numFmtId="1" fontId="0" fillId="3" borderId="32" xfId="3" applyNumberFormat="1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3" borderId="28" xfId="3" applyNumberFormat="1" applyFont="1" applyFill="1" applyBorder="1" applyAlignment="1">
      <alignment horizontal="center" vertical="center"/>
    </xf>
    <xf numFmtId="1" fontId="29" fillId="2" borderId="29" xfId="8" applyNumberFormat="1" applyFont="1" applyFill="1" applyBorder="1" applyAlignment="1">
      <alignment horizontal="center" vertical="center"/>
    </xf>
    <xf numFmtId="1" fontId="29" fillId="4" borderId="30" xfId="8" applyNumberFormat="1" applyFont="1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29" fillId="3" borderId="28" xfId="0" applyFont="1" applyFill="1" applyBorder="1" applyAlignment="1">
      <alignment horizontal="center" vertical="center"/>
    </xf>
    <xf numFmtId="0" fontId="29" fillId="3" borderId="29" xfId="0" applyFont="1" applyFill="1" applyBorder="1" applyAlignment="1">
      <alignment horizontal="center" vertical="center"/>
    </xf>
    <xf numFmtId="0" fontId="29" fillId="4" borderId="30" xfId="0" applyFont="1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6" fillId="12" borderId="33" xfId="0" applyFont="1" applyFill="1" applyBorder="1" applyAlignment="1">
      <alignment horizontal="center" vertical="center"/>
    </xf>
    <xf numFmtId="0" fontId="16" fillId="12" borderId="0" xfId="0" applyFont="1" applyFill="1" applyBorder="1" applyAlignment="1">
      <alignment horizontal="center" vertical="center"/>
    </xf>
    <xf numFmtId="173" fontId="5" fillId="3" borderId="0" xfId="0" applyNumberFormat="1" applyFont="1" applyFill="1" applyAlignment="1">
      <alignment horizontal="center" vertical="center"/>
    </xf>
    <xf numFmtId="1" fontId="0" fillId="3" borderId="0" xfId="1" applyNumberFormat="1" applyFont="1" applyFill="1" applyAlignment="1">
      <alignment horizontal="center"/>
    </xf>
    <xf numFmtId="1" fontId="0" fillId="3" borderId="47" xfId="3" applyNumberFormat="1" applyFont="1" applyFill="1" applyBorder="1" applyAlignment="1">
      <alignment horizontal="center" vertical="center"/>
    </xf>
    <xf numFmtId="1" fontId="6" fillId="3" borderId="40" xfId="7" applyNumberFormat="1" applyFont="1" applyFill="1" applyBorder="1" applyAlignment="1">
      <alignment horizontal="center" vertical="center"/>
    </xf>
    <xf numFmtId="0" fontId="29" fillId="3" borderId="41" xfId="0" applyFont="1" applyFill="1" applyBorder="1" applyAlignment="1">
      <alignment horizontal="center" vertical="center"/>
    </xf>
    <xf numFmtId="0" fontId="29" fillId="3" borderId="42" xfId="0" applyFont="1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174" fontId="5" fillId="3" borderId="0" xfId="0" applyNumberFormat="1" applyFont="1" applyFill="1" applyAlignment="1">
      <alignment horizontal="center" vertical="center"/>
    </xf>
    <xf numFmtId="1" fontId="29" fillId="3" borderId="29" xfId="8" applyNumberFormat="1" applyFont="1" applyFill="1" applyBorder="1" applyAlignment="1">
      <alignment horizontal="center" vertical="center"/>
    </xf>
    <xf numFmtId="1" fontId="29" fillId="3" borderId="0" xfId="8" applyNumberFormat="1" applyFont="1" applyFill="1" applyBorder="1" applyAlignment="1">
      <alignment horizontal="center" vertical="center"/>
    </xf>
    <xf numFmtId="0" fontId="29" fillId="2" borderId="28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6" fillId="3" borderId="41" xfId="8" applyFill="1" applyBorder="1" applyAlignment="1">
      <alignment horizontal="center" vertical="center"/>
    </xf>
    <xf numFmtId="0" fontId="6" fillId="3" borderId="27" xfId="11" applyFill="1" applyBorder="1" applyAlignment="1">
      <alignment horizontal="center" vertical="center"/>
    </xf>
    <xf numFmtId="0" fontId="6" fillId="3" borderId="28" xfId="8" applyFill="1" applyBorder="1" applyAlignment="1">
      <alignment horizontal="center" vertical="center"/>
    </xf>
    <xf numFmtId="0" fontId="6" fillId="3" borderId="29" xfId="8" applyFill="1" applyBorder="1" applyAlignment="1">
      <alignment horizontal="center" vertical="center"/>
    </xf>
    <xf numFmtId="0" fontId="6" fillId="4" borderId="30" xfId="8" applyFill="1" applyBorder="1" applyAlignment="1">
      <alignment horizontal="center" vertical="center"/>
    </xf>
    <xf numFmtId="1" fontId="0" fillId="9" borderId="61" xfId="0" applyNumberFormat="1" applyFont="1" applyFill="1" applyBorder="1" applyAlignment="1">
      <alignment horizontal="center" vertical="center"/>
    </xf>
    <xf numFmtId="0" fontId="16" fillId="4" borderId="47" xfId="0" applyFont="1" applyFill="1" applyBorder="1" applyAlignment="1">
      <alignment horizontal="center" vertical="center"/>
    </xf>
    <xf numFmtId="0" fontId="16" fillId="4" borderId="58" xfId="0" applyFont="1" applyFill="1" applyBorder="1" applyAlignment="1">
      <alignment horizontal="center" vertical="center"/>
    </xf>
    <xf numFmtId="1" fontId="0" fillId="4" borderId="47" xfId="3" applyNumberFormat="1" applyFont="1" applyFill="1" applyBorder="1" applyAlignment="1">
      <alignment horizontal="center" vertical="center" wrapText="1"/>
    </xf>
    <xf numFmtId="1" fontId="0" fillId="4" borderId="41" xfId="0" applyNumberFormat="1" applyFill="1" applyBorder="1" applyAlignment="1">
      <alignment horizontal="center" vertical="center"/>
    </xf>
    <xf numFmtId="1" fontId="0" fillId="4" borderId="41" xfId="3" applyNumberFormat="1" applyFont="1" applyFill="1" applyBorder="1" applyAlignment="1">
      <alignment horizontal="center" vertical="center"/>
    </xf>
    <xf numFmtId="1" fontId="29" fillId="4" borderId="42" xfId="8" applyNumberFormat="1" applyFont="1" applyFill="1" applyBorder="1" applyAlignment="1">
      <alignment horizontal="center" vertical="center" wrapText="1"/>
    </xf>
    <xf numFmtId="1" fontId="29" fillId="4" borderId="45" xfId="8" applyNumberFormat="1" applyFont="1" applyFill="1" applyBorder="1" applyAlignment="1">
      <alignment horizontal="center" vertical="center" wrapText="1"/>
    </xf>
    <xf numFmtId="1" fontId="29" fillId="3" borderId="0" xfId="8" applyNumberFormat="1" applyFont="1" applyFill="1" applyBorder="1" applyAlignment="1">
      <alignment horizontal="center" vertical="center" wrapText="1"/>
    </xf>
    <xf numFmtId="0" fontId="0" fillId="4" borderId="40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1" fontId="0" fillId="4" borderId="41" xfId="1" applyNumberFormat="1" applyFont="1" applyFill="1" applyBorder="1" applyAlignment="1">
      <alignment horizontal="center" vertical="center"/>
    </xf>
    <xf numFmtId="0" fontId="6" fillId="4" borderId="41" xfId="8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0" fillId="4" borderId="47" xfId="0" applyFill="1" applyBorder="1" applyAlignment="1">
      <alignment horizontal="center" vertical="center"/>
    </xf>
    <xf numFmtId="0" fontId="29" fillId="4" borderId="41" xfId="0" applyFont="1" applyFill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1" fontId="16" fillId="4" borderId="45" xfId="0" applyNumberFormat="1" applyFont="1" applyFill="1" applyBorder="1" applyAlignment="1">
      <alignment horizontal="center" vertical="center"/>
    </xf>
    <xf numFmtId="166" fontId="0" fillId="3" borderId="0" xfId="1" applyNumberFormat="1" applyFont="1" applyFill="1" applyAlignment="1">
      <alignment horizontal="center" vertical="center"/>
    </xf>
    <xf numFmtId="0" fontId="16" fillId="4" borderId="32" xfId="0" applyFont="1" applyFill="1" applyBorder="1" applyAlignment="1">
      <alignment horizontal="center" vertical="center"/>
    </xf>
    <xf numFmtId="0" fontId="16" fillId="4" borderId="70" xfId="0" applyFont="1" applyFill="1" applyBorder="1" applyAlignment="1">
      <alignment horizontal="center" vertical="center"/>
    </xf>
    <xf numFmtId="1" fontId="0" fillId="4" borderId="32" xfId="3" applyNumberFormat="1" applyFont="1" applyFill="1" applyBorder="1" applyAlignment="1">
      <alignment horizontal="center" vertical="center"/>
    </xf>
    <xf numFmtId="1" fontId="0" fillId="4" borderId="28" xfId="0" applyNumberFormat="1" applyFill="1" applyBorder="1" applyAlignment="1">
      <alignment horizontal="center" vertical="center"/>
    </xf>
    <xf numFmtId="1" fontId="0" fillId="4" borderId="28" xfId="2" applyNumberFormat="1" applyFont="1" applyFill="1" applyBorder="1" applyAlignment="1">
      <alignment horizontal="center" vertical="center"/>
    </xf>
    <xf numFmtId="1" fontId="0" fillId="4" borderId="29" xfId="8" applyNumberFormat="1" applyFont="1" applyFill="1" applyBorder="1" applyAlignment="1">
      <alignment horizontal="center" vertical="center"/>
    </xf>
    <xf numFmtId="1" fontId="0" fillId="4" borderId="30" xfId="8" applyNumberFormat="1" applyFont="1" applyFill="1" applyBorder="1" applyAlignment="1">
      <alignment horizontal="center" vertical="center"/>
    </xf>
    <xf numFmtId="1" fontId="0" fillId="3" borderId="0" xfId="8" applyNumberFormat="1" applyFont="1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1" fontId="0" fillId="4" borderId="28" xfId="1" applyNumberFormat="1" applyFont="1" applyFill="1" applyBorder="1" applyAlignment="1">
      <alignment horizontal="center" vertical="center"/>
    </xf>
    <xf numFmtId="0" fontId="0" fillId="4" borderId="28" xfId="8" applyFont="1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1" fontId="16" fillId="4" borderId="30" xfId="0" applyNumberFormat="1" applyFont="1" applyFill="1" applyBorder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1" fontId="29" fillId="4" borderId="41" xfId="0" applyNumberFormat="1" applyFont="1" applyFill="1" applyBorder="1" applyAlignment="1">
      <alignment horizontal="center" vertical="center"/>
    </xf>
    <xf numFmtId="1" fontId="29" fillId="4" borderId="42" xfId="0" applyNumberFormat="1" applyFont="1" applyFill="1" applyBorder="1" applyAlignment="1">
      <alignment horizontal="center" vertical="center"/>
    </xf>
    <xf numFmtId="1" fontId="29" fillId="4" borderId="45" xfId="0" applyNumberFormat="1" applyFont="1" applyFill="1" applyBorder="1" applyAlignment="1">
      <alignment horizontal="center" vertical="center"/>
    </xf>
    <xf numFmtId="1" fontId="6" fillId="3" borderId="0" xfId="1" applyNumberFormat="1" applyFont="1" applyFill="1" applyBorder="1" applyAlignment="1">
      <alignment horizontal="center" vertical="center"/>
    </xf>
    <xf numFmtId="1" fontId="0" fillId="4" borderId="32" xfId="3" applyNumberFormat="1" applyFont="1" applyFill="1" applyBorder="1" applyAlignment="1">
      <alignment horizontal="center" vertical="center" wrapText="1"/>
    </xf>
    <xf numFmtId="1" fontId="0" fillId="4" borderId="28" xfId="3" applyNumberFormat="1" applyFont="1" applyFill="1" applyBorder="1" applyAlignment="1">
      <alignment horizontal="center" vertical="center"/>
    </xf>
    <xf numFmtId="1" fontId="29" fillId="4" borderId="29" xfId="8" applyNumberFormat="1" applyFont="1" applyFill="1" applyBorder="1" applyAlignment="1">
      <alignment horizontal="center" vertical="center" wrapText="1"/>
    </xf>
    <xf numFmtId="1" fontId="29" fillId="4" borderId="30" xfId="8" applyNumberFormat="1" applyFont="1" applyFill="1" applyBorder="1" applyAlignment="1">
      <alignment horizontal="center" vertical="center" wrapText="1"/>
    </xf>
    <xf numFmtId="1" fontId="29" fillId="4" borderId="28" xfId="0" applyNumberFormat="1" applyFont="1" applyFill="1" applyBorder="1" applyAlignment="1">
      <alignment horizontal="center" vertical="center"/>
    </xf>
    <xf numFmtId="0" fontId="6" fillId="4" borderId="28" xfId="8" applyFill="1" applyBorder="1" applyAlignment="1">
      <alignment horizontal="center" vertical="center"/>
    </xf>
    <xf numFmtId="0" fontId="6" fillId="4" borderId="29" xfId="8" applyFill="1" applyBorder="1" applyAlignment="1">
      <alignment horizontal="center" vertical="center"/>
    </xf>
    <xf numFmtId="0" fontId="29" fillId="4" borderId="28" xfId="0" applyFont="1" applyFill="1" applyBorder="1" applyAlignment="1">
      <alignment horizontal="center" vertical="center"/>
    </xf>
    <xf numFmtId="1" fontId="29" fillId="4" borderId="29" xfId="0" applyNumberFormat="1" applyFont="1" applyFill="1" applyBorder="1" applyAlignment="1">
      <alignment horizontal="center" vertical="center"/>
    </xf>
    <xf numFmtId="1" fontId="29" fillId="4" borderId="30" xfId="0" applyNumberFormat="1" applyFont="1" applyFill="1" applyBorder="1" applyAlignment="1">
      <alignment horizontal="center" vertical="center"/>
    </xf>
    <xf numFmtId="1" fontId="6" fillId="9" borderId="56" xfId="0" applyNumberFormat="1" applyFont="1" applyFill="1" applyBorder="1" applyAlignment="1">
      <alignment horizontal="center" vertical="center"/>
    </xf>
    <xf numFmtId="0" fontId="7" fillId="13" borderId="47" xfId="0" applyFont="1" applyFill="1" applyBorder="1" applyAlignment="1">
      <alignment horizontal="center" vertical="center"/>
    </xf>
    <xf numFmtId="0" fontId="7" fillId="13" borderId="58" xfId="0" applyFont="1" applyFill="1" applyBorder="1" applyAlignment="1">
      <alignment horizontal="center" vertical="center"/>
    </xf>
    <xf numFmtId="1" fontId="0" fillId="13" borderId="47" xfId="3" applyNumberFormat="1" applyFont="1" applyFill="1" applyBorder="1" applyAlignment="1">
      <alignment horizontal="center" vertical="center" wrapText="1"/>
    </xf>
    <xf numFmtId="0" fontId="0" fillId="13" borderId="41" xfId="0" applyFill="1" applyBorder="1" applyAlignment="1">
      <alignment horizontal="center" vertical="center"/>
    </xf>
    <xf numFmtId="1" fontId="0" fillId="13" borderId="41" xfId="3" applyNumberFormat="1" applyFont="1" applyFill="1" applyBorder="1" applyAlignment="1">
      <alignment horizontal="center" vertical="center"/>
    </xf>
    <xf numFmtId="1" fontId="29" fillId="13" borderId="42" xfId="8" applyNumberFormat="1" applyFont="1" applyFill="1" applyBorder="1" applyAlignment="1">
      <alignment horizontal="center" vertical="center" wrapText="1"/>
    </xf>
    <xf numFmtId="0" fontId="0" fillId="13" borderId="40" xfId="0" applyFill="1" applyBorder="1" applyAlignment="1">
      <alignment horizontal="center" vertical="center"/>
    </xf>
    <xf numFmtId="0" fontId="6" fillId="13" borderId="41" xfId="8" applyFill="1" applyBorder="1" applyAlignment="1">
      <alignment horizontal="center" vertical="center"/>
    </xf>
    <xf numFmtId="0" fontId="6" fillId="13" borderId="42" xfId="8" applyFill="1" applyBorder="1" applyAlignment="1">
      <alignment horizontal="center" vertical="center"/>
    </xf>
    <xf numFmtId="0" fontId="6" fillId="4" borderId="45" xfId="8" applyFill="1" applyBorder="1" applyAlignment="1">
      <alignment horizontal="center" vertical="center"/>
    </xf>
    <xf numFmtId="0" fontId="0" fillId="13" borderId="47" xfId="0" applyFill="1" applyBorder="1" applyAlignment="1">
      <alignment horizontal="center" vertical="center"/>
    </xf>
    <xf numFmtId="0" fontId="0" fillId="13" borderId="58" xfId="0" applyFill="1" applyBorder="1" applyAlignment="1">
      <alignment horizontal="center" vertical="center"/>
    </xf>
    <xf numFmtId="0" fontId="0" fillId="13" borderId="19" xfId="0" applyFill="1" applyBorder="1" applyAlignment="1">
      <alignment horizontal="center" vertical="center"/>
    </xf>
    <xf numFmtId="0" fontId="0" fillId="13" borderId="42" xfId="0" applyFill="1" applyBorder="1" applyAlignment="1">
      <alignment horizontal="center" vertical="center"/>
    </xf>
    <xf numFmtId="1" fontId="16" fillId="13" borderId="45" xfId="0" applyNumberFormat="1" applyFont="1" applyFill="1" applyBorder="1" applyAlignment="1">
      <alignment horizontal="center" vertical="center"/>
    </xf>
    <xf numFmtId="0" fontId="7" fillId="13" borderId="73" xfId="0" applyFont="1" applyFill="1" applyBorder="1" applyAlignment="1">
      <alignment horizontal="center" vertical="center"/>
    </xf>
    <xf numFmtId="0" fontId="7" fillId="13" borderId="77" xfId="0" applyFont="1" applyFill="1" applyBorder="1" applyAlignment="1">
      <alignment horizontal="center" vertical="center"/>
    </xf>
    <xf numFmtId="1" fontId="0" fillId="13" borderId="73" xfId="3" applyNumberFormat="1" applyFont="1" applyFill="1" applyBorder="1" applyAlignment="1">
      <alignment horizontal="center" vertical="center" wrapText="1"/>
    </xf>
    <xf numFmtId="0" fontId="0" fillId="13" borderId="71" xfId="0" applyFill="1" applyBorder="1" applyAlignment="1">
      <alignment horizontal="center" vertical="center"/>
    </xf>
    <xf numFmtId="1" fontId="0" fillId="13" borderId="71" xfId="3" applyNumberFormat="1" applyFont="1" applyFill="1" applyBorder="1" applyAlignment="1">
      <alignment horizontal="center" vertical="center"/>
    </xf>
    <xf numFmtId="1" fontId="30" fillId="13" borderId="72" xfId="8" applyNumberFormat="1" applyFont="1" applyFill="1" applyBorder="1" applyAlignment="1">
      <alignment horizontal="center" vertical="center" wrapText="1"/>
    </xf>
    <xf numFmtId="1" fontId="29" fillId="4" borderId="78" xfId="8" applyNumberFormat="1" applyFont="1" applyFill="1" applyBorder="1" applyAlignment="1">
      <alignment horizontal="center" vertical="center" wrapText="1"/>
    </xf>
    <xf numFmtId="0" fontId="0" fillId="13" borderId="35" xfId="0" applyFill="1" applyBorder="1" applyAlignment="1">
      <alignment horizontal="center" vertical="center"/>
    </xf>
    <xf numFmtId="0" fontId="6" fillId="13" borderId="71" xfId="8" applyFill="1" applyBorder="1" applyAlignment="1">
      <alignment horizontal="center" vertical="center"/>
    </xf>
    <xf numFmtId="0" fontId="6" fillId="13" borderId="72" xfId="8" applyFill="1" applyBorder="1" applyAlignment="1">
      <alignment horizontal="center" vertical="center"/>
    </xf>
    <xf numFmtId="0" fontId="6" fillId="4" borderId="78" xfId="8" applyFill="1" applyBorder="1" applyAlignment="1">
      <alignment horizontal="center" vertical="center"/>
    </xf>
    <xf numFmtId="0" fontId="0" fillId="13" borderId="73" xfId="0" applyFill="1" applyBorder="1" applyAlignment="1">
      <alignment horizontal="center" vertical="center"/>
    </xf>
    <xf numFmtId="0" fontId="0" fillId="13" borderId="77" xfId="0" applyFill="1" applyBorder="1" applyAlignment="1">
      <alignment horizontal="center" vertical="center"/>
    </xf>
    <xf numFmtId="0" fontId="0" fillId="13" borderId="72" xfId="0" applyFill="1" applyBorder="1" applyAlignment="1">
      <alignment horizontal="center" vertical="center"/>
    </xf>
    <xf numFmtId="0" fontId="0" fillId="4" borderId="78" xfId="0" applyFill="1" applyBorder="1" applyAlignment="1">
      <alignment horizontal="center" vertical="center"/>
    </xf>
    <xf numFmtId="1" fontId="16" fillId="13" borderId="78" xfId="0" applyNumberFormat="1" applyFont="1" applyFill="1" applyBorder="1" applyAlignment="1">
      <alignment horizontal="center" vertical="center"/>
    </xf>
    <xf numFmtId="0" fontId="7" fillId="10" borderId="39" xfId="0" applyFont="1" applyFill="1" applyBorder="1" applyAlignment="1">
      <alignment horizontal="center" vertical="center"/>
    </xf>
    <xf numFmtId="0" fontId="7" fillId="10" borderId="38" xfId="0" applyFont="1" applyFill="1" applyBorder="1" applyAlignment="1">
      <alignment horizontal="center" vertical="center"/>
    </xf>
    <xf numFmtId="9" fontId="6" fillId="10" borderId="64" xfId="2" applyFont="1" applyFill="1" applyBorder="1" applyAlignment="1">
      <alignment horizontal="center" vertical="center"/>
    </xf>
    <xf numFmtId="9" fontId="6" fillId="10" borderId="60" xfId="2" applyFont="1" applyFill="1" applyBorder="1" applyAlignment="1">
      <alignment horizontal="center" vertical="center"/>
    </xf>
    <xf numFmtId="9" fontId="6" fillId="10" borderId="61" xfId="2" applyFont="1" applyFill="1" applyBorder="1" applyAlignment="1">
      <alignment horizontal="center" vertical="center"/>
    </xf>
    <xf numFmtId="9" fontId="6" fillId="10" borderId="63" xfId="2" applyFont="1" applyFill="1" applyBorder="1" applyAlignment="1">
      <alignment horizontal="center" vertical="center"/>
    </xf>
    <xf numFmtId="1" fontId="0" fillId="3" borderId="38" xfId="8" applyNumberFormat="1" applyFont="1" applyFill="1" applyBorder="1" applyAlignment="1">
      <alignment horizontal="center" vertical="center"/>
    </xf>
    <xf numFmtId="9" fontId="6" fillId="10" borderId="38" xfId="2" applyFont="1" applyFill="1" applyBorder="1" applyAlignment="1">
      <alignment horizontal="center" vertical="center"/>
    </xf>
    <xf numFmtId="10" fontId="8" fillId="3" borderId="38" xfId="4" applyNumberFormat="1" applyFont="1" applyFill="1" applyBorder="1" applyAlignment="1">
      <alignment horizontal="center" vertical="center"/>
    </xf>
    <xf numFmtId="9" fontId="6" fillId="10" borderId="79" xfId="2" applyFont="1" applyFill="1" applyBorder="1" applyAlignment="1">
      <alignment horizontal="center" vertical="center"/>
    </xf>
    <xf numFmtId="9" fontId="6" fillId="10" borderId="80" xfId="2" applyFont="1" applyFill="1" applyBorder="1" applyAlignment="1">
      <alignment horizontal="center" vertical="center"/>
    </xf>
    <xf numFmtId="0" fontId="7" fillId="14" borderId="7" xfId="0" applyFont="1" applyFill="1" applyBorder="1" applyAlignment="1">
      <alignment horizontal="center" vertical="center"/>
    </xf>
    <xf numFmtId="0" fontId="7" fillId="14" borderId="8" xfId="0" applyFont="1" applyFill="1" applyBorder="1" applyAlignment="1">
      <alignment horizontal="center" vertical="center"/>
    </xf>
    <xf numFmtId="1" fontId="0" fillId="14" borderId="7" xfId="3" applyNumberFormat="1" applyFont="1" applyFill="1" applyBorder="1" applyAlignment="1">
      <alignment horizontal="center" vertical="center"/>
    </xf>
    <xf numFmtId="0" fontId="0" fillId="14" borderId="67" xfId="0" applyFill="1" applyBorder="1" applyAlignment="1">
      <alignment horizontal="center" vertical="center"/>
    </xf>
    <xf numFmtId="1" fontId="0" fillId="14" borderId="67" xfId="3" applyNumberFormat="1" applyFont="1" applyFill="1" applyBorder="1" applyAlignment="1">
      <alignment horizontal="center" vertical="center"/>
    </xf>
    <xf numFmtId="1" fontId="29" fillId="14" borderId="68" xfId="8" applyNumberFormat="1" applyFont="1" applyFill="1" applyBorder="1" applyAlignment="1">
      <alignment horizontal="center" vertical="center"/>
    </xf>
    <xf numFmtId="1" fontId="29" fillId="4" borderId="13" xfId="8" applyNumberFormat="1" applyFont="1" applyFill="1" applyBorder="1" applyAlignment="1">
      <alignment horizontal="center" vertical="center"/>
    </xf>
    <xf numFmtId="1" fontId="0" fillId="14" borderId="8" xfId="3" applyNumberFormat="1" applyFont="1" applyFill="1" applyBorder="1" applyAlignment="1">
      <alignment horizontal="center" vertical="center"/>
    </xf>
    <xf numFmtId="0" fontId="6" fillId="4" borderId="13" xfId="8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31" fillId="14" borderId="67" xfId="0" applyFont="1" applyFill="1" applyBorder="1" applyAlignment="1">
      <alignment horizontal="center" vertical="center"/>
    </xf>
    <xf numFmtId="0" fontId="0" fillId="14" borderId="76" xfId="0" applyFill="1" applyBorder="1" applyAlignment="1">
      <alignment horizontal="center" vertical="center"/>
    </xf>
    <xf numFmtId="0" fontId="0" fillId="14" borderId="68" xfId="0" applyFill="1" applyBorder="1" applyAlignment="1">
      <alignment horizontal="center" vertical="center"/>
    </xf>
    <xf numFmtId="1" fontId="16" fillId="14" borderId="13" xfId="0" applyNumberFormat="1" applyFont="1" applyFill="1" applyBorder="1" applyAlignment="1">
      <alignment horizontal="center" vertical="center"/>
    </xf>
    <xf numFmtId="0" fontId="7" fillId="14" borderId="23" xfId="0" applyFont="1" applyFill="1" applyBorder="1" applyAlignment="1">
      <alignment horizontal="center" vertical="center"/>
    </xf>
    <xf numFmtId="0" fontId="7" fillId="14" borderId="69" xfId="0" applyFont="1" applyFill="1" applyBorder="1" applyAlignment="1">
      <alignment horizontal="center" vertical="center"/>
    </xf>
    <xf numFmtId="1" fontId="0" fillId="14" borderId="23" xfId="3" applyNumberFormat="1" applyFont="1" applyFill="1" applyBorder="1" applyAlignment="1">
      <alignment horizontal="center" vertical="center" wrapText="1"/>
    </xf>
    <xf numFmtId="0" fontId="0" fillId="14" borderId="19" xfId="0" applyFill="1" applyBorder="1" applyAlignment="1">
      <alignment horizontal="center" vertical="center"/>
    </xf>
    <xf numFmtId="1" fontId="0" fillId="14" borderId="19" xfId="3" applyNumberFormat="1" applyFont="1" applyFill="1" applyBorder="1" applyAlignment="1">
      <alignment horizontal="center" vertical="center"/>
    </xf>
    <xf numFmtId="1" fontId="29" fillId="14" borderId="20" xfId="8" applyNumberFormat="1" applyFont="1" applyFill="1" applyBorder="1" applyAlignment="1">
      <alignment horizontal="center" vertical="center"/>
    </xf>
    <xf numFmtId="1" fontId="29" fillId="4" borderId="21" xfId="8" applyNumberFormat="1" applyFont="1" applyFill="1" applyBorder="1" applyAlignment="1">
      <alignment horizontal="center" vertical="center"/>
    </xf>
    <xf numFmtId="0" fontId="6" fillId="4" borderId="21" xfId="8" applyFill="1" applyBorder="1" applyAlignment="1">
      <alignment horizontal="center" vertical="center"/>
    </xf>
    <xf numFmtId="0" fontId="0" fillId="14" borderId="23" xfId="0" applyFill="1" applyBorder="1" applyAlignment="1">
      <alignment horizontal="center" vertical="center"/>
    </xf>
    <xf numFmtId="0" fontId="31" fillId="14" borderId="19" xfId="0" applyFont="1" applyFill="1" applyBorder="1" applyAlignment="1">
      <alignment horizontal="center" vertical="center"/>
    </xf>
    <xf numFmtId="0" fontId="0" fillId="14" borderId="22" xfId="0" applyFill="1" applyBorder="1" applyAlignment="1">
      <alignment horizontal="center" vertical="center"/>
    </xf>
    <xf numFmtId="0" fontId="0" fillId="15" borderId="22" xfId="0" applyFill="1" applyBorder="1" applyAlignment="1">
      <alignment horizontal="center" vertical="center"/>
    </xf>
    <xf numFmtId="0" fontId="0" fillId="14" borderId="20" xfId="0" applyFill="1" applyBorder="1" applyAlignment="1">
      <alignment horizontal="center" vertical="center"/>
    </xf>
    <xf numFmtId="1" fontId="16" fillId="14" borderId="21" xfId="0" applyNumberFormat="1" applyFont="1" applyFill="1" applyBorder="1" applyAlignment="1">
      <alignment horizontal="center" vertical="center"/>
    </xf>
    <xf numFmtId="0" fontId="7" fillId="14" borderId="32" xfId="0" applyFont="1" applyFill="1" applyBorder="1" applyAlignment="1">
      <alignment horizontal="center" vertical="center"/>
    </xf>
    <xf numFmtId="0" fontId="7" fillId="14" borderId="70" xfId="0" applyFont="1" applyFill="1" applyBorder="1" applyAlignment="1">
      <alignment horizontal="center" vertical="center"/>
    </xf>
    <xf numFmtId="1" fontId="0" fillId="14" borderId="32" xfId="3" applyNumberFormat="1" applyFont="1" applyFill="1" applyBorder="1" applyAlignment="1">
      <alignment horizontal="center" vertical="center" wrapText="1"/>
    </xf>
    <xf numFmtId="1" fontId="0" fillId="14" borderId="28" xfId="3" applyNumberFormat="1" applyFont="1" applyFill="1" applyBorder="1" applyAlignment="1">
      <alignment horizontal="center" vertical="center" wrapText="1"/>
    </xf>
    <xf numFmtId="175" fontId="0" fillId="14" borderId="29" xfId="2" applyNumberFormat="1" applyFont="1" applyFill="1" applyBorder="1" applyAlignment="1">
      <alignment horizontal="center" vertical="center"/>
    </xf>
    <xf numFmtId="1" fontId="0" fillId="4" borderId="30" xfId="3" applyNumberFormat="1" applyFont="1" applyFill="1" applyBorder="1" applyAlignment="1">
      <alignment horizontal="center" vertical="center" wrapText="1"/>
    </xf>
    <xf numFmtId="1" fontId="0" fillId="3" borderId="0" xfId="3" applyNumberFormat="1" applyFont="1" applyFill="1" applyBorder="1" applyAlignment="1">
      <alignment horizontal="center" vertical="center" wrapText="1"/>
    </xf>
    <xf numFmtId="1" fontId="0" fillId="14" borderId="27" xfId="3" applyNumberFormat="1" applyFont="1" applyFill="1" applyBorder="1" applyAlignment="1">
      <alignment horizontal="center" vertical="center" wrapText="1"/>
    </xf>
    <xf numFmtId="1" fontId="0" fillId="14" borderId="29" xfId="3" applyNumberFormat="1" applyFont="1" applyFill="1" applyBorder="1" applyAlignment="1">
      <alignment horizontal="center" vertical="center" wrapText="1"/>
    </xf>
    <xf numFmtId="175" fontId="0" fillId="14" borderId="30" xfId="2" applyNumberFormat="1" applyFont="1" applyFill="1" applyBorder="1" applyAlignment="1">
      <alignment horizontal="center" vertical="center"/>
    </xf>
    <xf numFmtId="174" fontId="16" fillId="3" borderId="0" xfId="0" applyNumberFormat="1" applyFont="1" applyFill="1" applyAlignment="1">
      <alignment horizontal="center" vertical="center"/>
    </xf>
    <xf numFmtId="0" fontId="8" fillId="16" borderId="47" xfId="0" applyFont="1" applyFill="1" applyBorder="1" applyAlignment="1">
      <alignment horizontal="center" vertical="center"/>
    </xf>
    <xf numFmtId="0" fontId="8" fillId="16" borderId="58" xfId="0" applyFont="1" applyFill="1" applyBorder="1" applyAlignment="1">
      <alignment horizontal="center" vertical="center"/>
    </xf>
    <xf numFmtId="1" fontId="6" fillId="16" borderId="18" xfId="6" applyNumberFormat="1" applyFont="1" applyFill="1" applyBorder="1" applyAlignment="1">
      <alignment horizontal="center" vertical="center"/>
    </xf>
    <xf numFmtId="0" fontId="0" fillId="16" borderId="41" xfId="11" applyFont="1" applyFill="1" applyBorder="1" applyAlignment="1">
      <alignment horizontal="center"/>
    </xf>
    <xf numFmtId="0" fontId="0" fillId="16" borderId="41" xfId="0" applyFill="1" applyBorder="1" applyAlignment="1">
      <alignment horizontal="center"/>
    </xf>
    <xf numFmtId="0" fontId="6" fillId="16" borderId="42" xfId="12" applyFill="1" applyBorder="1" applyAlignment="1">
      <alignment horizontal="center" vertical="center"/>
    </xf>
    <xf numFmtId="0" fontId="6" fillId="4" borderId="45" xfId="12" applyFill="1" applyBorder="1" applyAlignment="1">
      <alignment horizontal="center" vertical="center"/>
    </xf>
    <xf numFmtId="0" fontId="6" fillId="16" borderId="40" xfId="8" applyFill="1" applyBorder="1" applyAlignment="1">
      <alignment horizontal="center"/>
    </xf>
    <xf numFmtId="0" fontId="31" fillId="16" borderId="41" xfId="0" applyFont="1" applyFill="1" applyBorder="1" applyAlignment="1">
      <alignment horizontal="center" vertical="center"/>
    </xf>
    <xf numFmtId="0" fontId="0" fillId="16" borderId="41" xfId="0" applyFill="1" applyBorder="1" applyAlignment="1">
      <alignment horizontal="center" vertical="center"/>
    </xf>
    <xf numFmtId="1" fontId="6" fillId="16" borderId="42" xfId="12" applyNumberFormat="1" applyFill="1" applyBorder="1" applyAlignment="1">
      <alignment horizontal="center" vertical="center"/>
    </xf>
    <xf numFmtId="1" fontId="6" fillId="4" borderId="45" xfId="12" applyNumberFormat="1" applyFill="1" applyBorder="1" applyAlignment="1">
      <alignment horizontal="center" vertical="center"/>
    </xf>
    <xf numFmtId="0" fontId="0" fillId="16" borderId="47" xfId="8" applyFont="1" applyFill="1" applyBorder="1" applyAlignment="1">
      <alignment horizontal="center"/>
    </xf>
    <xf numFmtId="0" fontId="0" fillId="16" borderId="41" xfId="8" applyFont="1" applyFill="1" applyBorder="1" applyAlignment="1">
      <alignment horizontal="center"/>
    </xf>
    <xf numFmtId="1" fontId="29" fillId="16" borderId="44" xfId="8" applyNumberFormat="1" applyFont="1" applyFill="1" applyBorder="1" applyAlignment="1">
      <alignment horizontal="center"/>
    </xf>
    <xf numFmtId="0" fontId="0" fillId="16" borderId="44" xfId="0" applyFill="1" applyBorder="1" applyAlignment="1">
      <alignment horizontal="center" vertical="center"/>
    </xf>
    <xf numFmtId="0" fontId="0" fillId="16" borderId="42" xfId="0" applyFill="1" applyBorder="1" applyAlignment="1">
      <alignment horizontal="center" vertical="center"/>
    </xf>
    <xf numFmtId="1" fontId="16" fillId="16" borderId="45" xfId="0" applyNumberFormat="1" applyFont="1" applyFill="1" applyBorder="1" applyAlignment="1">
      <alignment horizontal="center" vertical="center"/>
    </xf>
    <xf numFmtId="9" fontId="0" fillId="3" borderId="0" xfId="2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8" fillId="16" borderId="23" xfId="0" applyFont="1" applyFill="1" applyBorder="1" applyAlignment="1">
      <alignment horizontal="center" vertical="center"/>
    </xf>
    <xf numFmtId="0" fontId="8" fillId="16" borderId="69" xfId="0" applyFont="1" applyFill="1" applyBorder="1" applyAlignment="1">
      <alignment horizontal="center" vertical="center"/>
    </xf>
    <xf numFmtId="0" fontId="0" fillId="16" borderId="19" xfId="11" applyFont="1" applyFill="1" applyBorder="1" applyAlignment="1">
      <alignment horizontal="center" vertical="center"/>
    </xf>
    <xf numFmtId="0" fontId="0" fillId="16" borderId="19" xfId="0" applyFill="1" applyBorder="1" applyAlignment="1">
      <alignment horizontal="center" vertical="center"/>
    </xf>
    <xf numFmtId="0" fontId="0" fillId="16" borderId="20" xfId="0" applyFill="1" applyBorder="1" applyAlignment="1">
      <alignment horizontal="center" vertical="center"/>
    </xf>
    <xf numFmtId="0" fontId="0" fillId="16" borderId="18" xfId="0" applyFill="1" applyBorder="1" applyAlignment="1">
      <alignment horizontal="center" vertical="center"/>
    </xf>
    <xf numFmtId="1" fontId="0" fillId="16" borderId="20" xfId="0" applyNumberFormat="1" applyFill="1" applyBorder="1" applyAlignment="1">
      <alignment horizontal="center" vertical="center"/>
    </xf>
    <xf numFmtId="0" fontId="0" fillId="16" borderId="23" xfId="8" applyFont="1" applyFill="1" applyBorder="1" applyAlignment="1">
      <alignment horizontal="center" vertical="center"/>
    </xf>
    <xf numFmtId="0" fontId="0" fillId="16" borderId="19" xfId="8" applyFont="1" applyFill="1" applyBorder="1" applyAlignment="1">
      <alignment horizontal="center" vertical="center"/>
    </xf>
    <xf numFmtId="1" fontId="29" fillId="16" borderId="22" xfId="8" applyNumberFormat="1" applyFont="1" applyFill="1" applyBorder="1" applyAlignment="1">
      <alignment horizontal="center" vertical="center"/>
    </xf>
    <xf numFmtId="0" fontId="0" fillId="16" borderId="76" xfId="0" applyFill="1" applyBorder="1" applyAlignment="1">
      <alignment horizontal="center" vertical="center"/>
    </xf>
    <xf numFmtId="0" fontId="0" fillId="16" borderId="67" xfId="0" applyFill="1" applyBorder="1" applyAlignment="1">
      <alignment horizontal="center" vertical="center"/>
    </xf>
    <xf numFmtId="0" fontId="0" fillId="16" borderId="68" xfId="0" applyFill="1" applyBorder="1" applyAlignment="1">
      <alignment horizontal="center" vertical="center"/>
    </xf>
    <xf numFmtId="1" fontId="16" fillId="16" borderId="21" xfId="0" applyNumberFormat="1" applyFont="1" applyFill="1" applyBorder="1" applyAlignment="1">
      <alignment horizontal="center" vertical="center"/>
    </xf>
    <xf numFmtId="0" fontId="8" fillId="16" borderId="32" xfId="0" applyFont="1" applyFill="1" applyBorder="1" applyAlignment="1">
      <alignment horizontal="center" vertical="center"/>
    </xf>
    <xf numFmtId="0" fontId="8" fillId="16" borderId="70" xfId="0" applyFont="1" applyFill="1" applyBorder="1" applyAlignment="1">
      <alignment horizontal="center" vertical="center"/>
    </xf>
    <xf numFmtId="1" fontId="0" fillId="16" borderId="32" xfId="2" applyNumberFormat="1" applyFont="1" applyFill="1" applyBorder="1" applyAlignment="1">
      <alignment horizontal="center" vertical="center"/>
    </xf>
    <xf numFmtId="1" fontId="0" fillId="16" borderId="28" xfId="2" applyNumberFormat="1" applyFont="1" applyFill="1" applyBorder="1" applyAlignment="1">
      <alignment horizontal="center" vertical="center"/>
    </xf>
    <xf numFmtId="1" fontId="0" fillId="16" borderId="29" xfId="2" applyNumberFormat="1" applyFont="1" applyFill="1" applyBorder="1" applyAlignment="1">
      <alignment horizontal="center" vertical="center"/>
    </xf>
    <xf numFmtId="1" fontId="0" fillId="4" borderId="30" xfId="2" applyNumberFormat="1" applyFont="1" applyFill="1" applyBorder="1" applyAlignment="1">
      <alignment horizontal="center" vertical="center"/>
    </xf>
    <xf numFmtId="1" fontId="0" fillId="16" borderId="70" xfId="2" applyNumberFormat="1" applyFont="1" applyFill="1" applyBorder="1" applyAlignment="1">
      <alignment horizontal="center" vertical="center"/>
    </xf>
    <xf numFmtId="2" fontId="0" fillId="16" borderId="30" xfId="2" applyNumberFormat="1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1" fontId="0" fillId="3" borderId="7" xfId="3" applyNumberFormat="1" applyFont="1" applyFill="1" applyBorder="1" applyAlignment="1">
      <alignment horizontal="center" vertical="center"/>
    </xf>
    <xf numFmtId="1" fontId="0" fillId="3" borderId="67" xfId="3" applyNumberFormat="1" applyFont="1" applyFill="1" applyBorder="1" applyAlignment="1">
      <alignment horizontal="center" vertical="center"/>
    </xf>
    <xf numFmtId="1" fontId="29" fillId="3" borderId="68" xfId="8" applyNumberFormat="1" applyFont="1" applyFill="1" applyBorder="1" applyAlignment="1">
      <alignment horizontal="center" vertical="center"/>
    </xf>
    <xf numFmtId="0" fontId="0" fillId="3" borderId="66" xfId="0" applyFill="1" applyBorder="1" applyAlignment="1">
      <alignment horizontal="center" vertical="center"/>
    </xf>
    <xf numFmtId="0" fontId="6" fillId="3" borderId="67" xfId="8" applyFill="1" applyBorder="1" applyAlignment="1">
      <alignment horizontal="center" vertical="center"/>
    </xf>
    <xf numFmtId="0" fontId="29" fillId="4" borderId="13" xfId="0" applyFont="1" applyFill="1" applyBorder="1" applyAlignment="1">
      <alignment horizontal="center" vertical="center"/>
    </xf>
    <xf numFmtId="0" fontId="31" fillId="3" borderId="67" xfId="0" applyFont="1" applyFill="1" applyBorder="1" applyAlignment="1">
      <alignment horizontal="center" vertical="center"/>
    </xf>
    <xf numFmtId="0" fontId="0" fillId="3" borderId="68" xfId="0" applyFill="1" applyBorder="1" applyAlignment="1">
      <alignment horizontal="center" vertical="center"/>
    </xf>
    <xf numFmtId="1" fontId="16" fillId="3" borderId="13" xfId="0" applyNumberFormat="1" applyFont="1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3" borderId="71" xfId="0" applyFill="1" applyBorder="1" applyAlignment="1">
      <alignment horizontal="center" vertical="center"/>
    </xf>
    <xf numFmtId="1" fontId="6" fillId="3" borderId="71" xfId="3" applyNumberFormat="1" applyFill="1" applyBorder="1" applyAlignment="1">
      <alignment horizontal="center" vertical="center"/>
    </xf>
    <xf numFmtId="0" fontId="0" fillId="3" borderId="72" xfId="0" applyFill="1" applyBorder="1" applyAlignment="1">
      <alignment horizontal="center" vertical="center"/>
    </xf>
    <xf numFmtId="0" fontId="0" fillId="3" borderId="73" xfId="0" applyFill="1" applyBorder="1" applyAlignment="1">
      <alignment horizontal="center" vertical="center"/>
    </xf>
    <xf numFmtId="0" fontId="0" fillId="3" borderId="74" xfId="0" applyFill="1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/>
    </xf>
    <xf numFmtId="0" fontId="7" fillId="10" borderId="0" xfId="0" applyFont="1" applyFill="1" applyBorder="1" applyAlignment="1">
      <alignment horizontal="center" vertical="center"/>
    </xf>
    <xf numFmtId="1" fontId="0" fillId="17" borderId="47" xfId="3" applyNumberFormat="1" applyFont="1" applyFill="1" applyBorder="1" applyAlignment="1">
      <alignment horizontal="center" vertical="center" wrapText="1"/>
    </xf>
    <xf numFmtId="175" fontId="0" fillId="3" borderId="41" xfId="3" applyNumberFormat="1" applyFont="1" applyFill="1" applyBorder="1" applyAlignment="1">
      <alignment horizontal="center" vertical="center"/>
    </xf>
    <xf numFmtId="0" fontId="6" fillId="2" borderId="67" xfId="8" applyFill="1" applyBorder="1" applyAlignment="1">
      <alignment horizontal="center" vertical="center"/>
    </xf>
    <xf numFmtId="1" fontId="29" fillId="3" borderId="68" xfId="0" applyNumberFormat="1" applyFont="1" applyFill="1" applyBorder="1" applyAlignment="1">
      <alignment horizontal="center" vertical="center"/>
    </xf>
    <xf numFmtId="1" fontId="0" fillId="3" borderId="32" xfId="3" applyNumberFormat="1" applyFont="1" applyFill="1" applyBorder="1" applyAlignment="1">
      <alignment horizontal="center" vertical="center" wrapText="1"/>
    </xf>
    <xf numFmtId="175" fontId="0" fillId="3" borderId="28" xfId="3" applyNumberFormat="1" applyFont="1" applyFill="1" applyBorder="1" applyAlignment="1">
      <alignment horizontal="center" vertical="center"/>
    </xf>
    <xf numFmtId="1" fontId="0" fillId="3" borderId="27" xfId="0" applyNumberFormat="1" applyFill="1" applyBorder="1" applyAlignment="1">
      <alignment horizontal="center" vertical="center"/>
    </xf>
    <xf numFmtId="0" fontId="7" fillId="4" borderId="33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1" fontId="8" fillId="4" borderId="64" xfId="0" applyNumberFormat="1" applyFont="1" applyFill="1" applyBorder="1" applyAlignment="1">
      <alignment horizontal="center" vertical="center"/>
    </xf>
    <xf numFmtId="1" fontId="8" fillId="4" borderId="38" xfId="0" applyNumberFormat="1" applyFont="1" applyFill="1" applyBorder="1" applyAlignment="1">
      <alignment horizontal="center" vertical="center"/>
    </xf>
    <xf numFmtId="1" fontId="7" fillId="4" borderId="30" xfId="0" applyNumberFormat="1" applyFont="1" applyFill="1" applyBorder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7" fillId="4" borderId="58" xfId="0" applyFont="1" applyFill="1" applyBorder="1" applyAlignment="1">
      <alignment horizontal="center" vertical="center"/>
    </xf>
    <xf numFmtId="1" fontId="6" fillId="4" borderId="47" xfId="3" applyNumberFormat="1" applyFill="1" applyBorder="1" applyAlignment="1">
      <alignment horizontal="center" vertical="center"/>
    </xf>
    <xf numFmtId="0" fontId="6" fillId="4" borderId="42" xfId="0" applyFont="1" applyFill="1" applyBorder="1" applyAlignment="1">
      <alignment horizontal="center" vertical="center"/>
    </xf>
    <xf numFmtId="1" fontId="6" fillId="4" borderId="41" xfId="3" applyNumberFormat="1" applyFill="1" applyBorder="1" applyAlignment="1">
      <alignment horizontal="center" vertical="center"/>
    </xf>
    <xf numFmtId="0" fontId="6" fillId="4" borderId="41" xfId="13" applyFill="1" applyBorder="1" applyAlignment="1">
      <alignment horizontal="center" vertical="center"/>
    </xf>
    <xf numFmtId="0" fontId="6" fillId="4" borderId="42" xfId="14" applyFill="1" applyBorder="1" applyAlignment="1">
      <alignment horizontal="center" vertical="center"/>
    </xf>
    <xf numFmtId="0" fontId="6" fillId="4" borderId="45" xfId="14" applyFill="1" applyBorder="1" applyAlignment="1">
      <alignment horizontal="center" vertical="center"/>
    </xf>
    <xf numFmtId="0" fontId="6" fillId="4" borderId="47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44" xfId="0" applyFont="1" applyFill="1" applyBorder="1" applyAlignment="1">
      <alignment horizontal="center" vertical="center"/>
    </xf>
    <xf numFmtId="0" fontId="6" fillId="4" borderId="45" xfId="0" applyFont="1" applyFill="1" applyBorder="1" applyAlignment="1">
      <alignment horizontal="center" vertical="center"/>
    </xf>
    <xf numFmtId="0" fontId="7" fillId="4" borderId="32" xfId="0" applyFont="1" applyFill="1" applyBorder="1" applyAlignment="1">
      <alignment horizontal="center" vertical="center"/>
    </xf>
    <xf numFmtId="0" fontId="7" fillId="4" borderId="70" xfId="0" applyFont="1" applyFill="1" applyBorder="1" applyAlignment="1">
      <alignment horizontal="center" vertical="center"/>
    </xf>
    <xf numFmtId="1" fontId="6" fillId="4" borderId="73" xfId="3" applyNumberFormat="1" applyFill="1" applyBorder="1" applyAlignment="1">
      <alignment horizontal="center" vertical="center"/>
    </xf>
    <xf numFmtId="0" fontId="6" fillId="4" borderId="72" xfId="0" applyFont="1" applyFill="1" applyBorder="1" applyAlignment="1">
      <alignment horizontal="center" vertical="center"/>
    </xf>
    <xf numFmtId="1" fontId="6" fillId="4" borderId="71" xfId="3" applyNumberFormat="1" applyFill="1" applyBorder="1" applyAlignment="1">
      <alignment horizontal="center" vertical="center"/>
    </xf>
    <xf numFmtId="1" fontId="0" fillId="4" borderId="72" xfId="0" applyNumberFormat="1" applyFill="1" applyBorder="1" applyAlignment="1">
      <alignment horizontal="center" vertical="center"/>
    </xf>
    <xf numFmtId="1" fontId="0" fillId="4" borderId="78" xfId="0" applyNumberFormat="1" applyFill="1" applyBorder="1" applyAlignment="1">
      <alignment horizontal="center" vertical="center"/>
    </xf>
    <xf numFmtId="1" fontId="0" fillId="4" borderId="35" xfId="0" applyNumberFormat="1" applyFill="1" applyBorder="1" applyAlignment="1">
      <alignment horizontal="center" vertical="center"/>
    </xf>
    <xf numFmtId="1" fontId="0" fillId="4" borderId="71" xfId="0" applyNumberFormat="1" applyFill="1" applyBorder="1" applyAlignment="1">
      <alignment horizontal="center" vertical="center"/>
    </xf>
    <xf numFmtId="0" fontId="6" fillId="4" borderId="73" xfId="0" applyFont="1" applyFill="1" applyBorder="1" applyAlignment="1">
      <alignment horizontal="center" vertical="center"/>
    </xf>
    <xf numFmtId="0" fontId="6" fillId="4" borderId="71" xfId="0" applyFont="1" applyFill="1" applyBorder="1" applyAlignment="1">
      <alignment horizontal="center" vertical="center"/>
    </xf>
    <xf numFmtId="0" fontId="6" fillId="4" borderId="74" xfId="0" applyFont="1" applyFill="1" applyBorder="1" applyAlignment="1">
      <alignment horizontal="center" vertical="center"/>
    </xf>
    <xf numFmtId="0" fontId="6" fillId="4" borderId="78" xfId="0" applyFont="1" applyFill="1" applyBorder="1" applyAlignment="1">
      <alignment horizontal="center" vertical="center"/>
    </xf>
    <xf numFmtId="1" fontId="16" fillId="4" borderId="78" xfId="0" applyNumberFormat="1" applyFont="1" applyFill="1" applyBorder="1" applyAlignment="1">
      <alignment horizontal="center" vertical="center"/>
    </xf>
    <xf numFmtId="0" fontId="7" fillId="18" borderId="59" xfId="0" applyFont="1" applyFill="1" applyBorder="1" applyAlignment="1">
      <alignment horizontal="center" vertical="center"/>
    </xf>
    <xf numFmtId="0" fontId="7" fillId="18" borderId="60" xfId="0" applyFont="1" applyFill="1" applyBorder="1" applyAlignment="1">
      <alignment horizontal="center" vertical="center"/>
    </xf>
    <xf numFmtId="0" fontId="7" fillId="18" borderId="61" xfId="0" applyFont="1" applyFill="1" applyBorder="1" applyAlignment="1">
      <alignment horizontal="center" vertical="center"/>
    </xf>
    <xf numFmtId="1" fontId="14" fillId="10" borderId="64" xfId="0" applyNumberFormat="1" applyFont="1" applyFill="1" applyBorder="1" applyAlignment="1">
      <alignment horizontal="center" vertical="center"/>
    </xf>
    <xf numFmtId="1" fontId="14" fillId="10" borderId="60" xfId="0" applyNumberFormat="1" applyFont="1" applyFill="1" applyBorder="1" applyAlignment="1">
      <alignment horizontal="center" vertical="center"/>
    </xf>
    <xf numFmtId="1" fontId="14" fillId="10" borderId="61" xfId="0" applyNumberFormat="1" applyFont="1" applyFill="1" applyBorder="1" applyAlignment="1">
      <alignment horizontal="center" vertical="center"/>
    </xf>
    <xf numFmtId="1" fontId="33" fillId="10" borderId="63" xfId="0" applyNumberFormat="1" applyFont="1" applyFill="1" applyBorder="1" applyAlignment="1">
      <alignment horizontal="center" vertical="center"/>
    </xf>
    <xf numFmtId="1" fontId="14" fillId="10" borderId="59" xfId="0" applyNumberFormat="1" applyFont="1" applyFill="1" applyBorder="1" applyAlignment="1">
      <alignment horizontal="center" vertical="center"/>
    </xf>
    <xf numFmtId="1" fontId="14" fillId="10" borderId="38" xfId="0" applyNumberFormat="1" applyFont="1" applyFill="1" applyBorder="1" applyAlignment="1">
      <alignment horizontal="center" vertical="center"/>
    </xf>
    <xf numFmtId="3" fontId="32" fillId="10" borderId="63" xfId="10" applyNumberFormat="1" applyFont="1" applyFill="1" applyBorder="1" applyAlignment="1">
      <alignment horizontal="center" vertical="center"/>
    </xf>
    <xf numFmtId="3" fontId="7" fillId="3" borderId="0" xfId="0" applyNumberFormat="1" applyFont="1" applyFill="1" applyAlignment="1">
      <alignment horizontal="center" vertical="center"/>
    </xf>
    <xf numFmtId="1" fontId="7" fillId="3" borderId="0" xfId="0" applyNumberFormat="1" applyFont="1" applyFill="1" applyAlignment="1">
      <alignment horizontal="center" vertical="center"/>
    </xf>
    <xf numFmtId="0" fontId="16" fillId="3" borderId="66" xfId="0" applyFont="1" applyFill="1" applyBorder="1" applyAlignment="1">
      <alignment horizontal="center" vertical="center"/>
    </xf>
    <xf numFmtId="0" fontId="16" fillId="3" borderId="67" xfId="0" applyFont="1" applyFill="1" applyBorder="1" applyAlignment="1">
      <alignment horizontal="center" vertical="center"/>
    </xf>
    <xf numFmtId="0" fontId="16" fillId="3" borderId="68" xfId="0" applyFont="1" applyFill="1" applyBorder="1" applyAlignment="1">
      <alignment horizontal="center" vertical="center"/>
    </xf>
    <xf numFmtId="1" fontId="0" fillId="0" borderId="73" xfId="0" applyNumberFormat="1" applyFont="1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/>
    </xf>
    <xf numFmtId="0" fontId="0" fillId="0" borderId="19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16" fillId="3" borderId="35" xfId="0" applyFont="1" applyFill="1" applyBorder="1" applyAlignment="1">
      <alignment horizontal="center" vertical="center"/>
    </xf>
    <xf numFmtId="0" fontId="16" fillId="3" borderId="71" xfId="0" applyFont="1" applyFill="1" applyBorder="1" applyAlignment="1">
      <alignment horizontal="center" vertical="center"/>
    </xf>
    <xf numFmtId="0" fontId="16" fillId="3" borderId="72" xfId="0" applyFont="1" applyFill="1" applyBorder="1" applyAlignment="1">
      <alignment horizontal="center" vertical="center"/>
    </xf>
    <xf numFmtId="0" fontId="0" fillId="0" borderId="73" xfId="0" applyFont="1" applyFill="1" applyBorder="1" applyAlignment="1">
      <alignment horizontal="center" vertical="center"/>
    </xf>
    <xf numFmtId="0" fontId="0" fillId="19" borderId="72" xfId="0" applyFont="1" applyFill="1" applyBorder="1" applyAlignment="1">
      <alignment horizontal="center" vertical="center"/>
    </xf>
    <xf numFmtId="0" fontId="0" fillId="0" borderId="72" xfId="0" applyFont="1" applyFill="1" applyBorder="1" applyAlignment="1">
      <alignment horizontal="center" vertical="center"/>
    </xf>
    <xf numFmtId="0" fontId="8" fillId="4" borderId="78" xfId="0" applyFont="1" applyFill="1" applyBorder="1" applyAlignment="1">
      <alignment horizontal="center" vertical="center"/>
    </xf>
    <xf numFmtId="0" fontId="0" fillId="19" borderId="35" xfId="0" applyFont="1" applyFill="1" applyBorder="1" applyAlignment="1">
      <alignment horizontal="center" vertical="center"/>
    </xf>
    <xf numFmtId="0" fontId="0" fillId="19" borderId="71" xfId="0" applyFont="1" applyFill="1" applyBorder="1" applyAlignment="1">
      <alignment horizontal="center" vertical="center"/>
    </xf>
    <xf numFmtId="0" fontId="0" fillId="0" borderId="71" xfId="0" applyFont="1" applyFill="1" applyBorder="1" applyAlignment="1">
      <alignment horizontal="center" vertical="center"/>
    </xf>
    <xf numFmtId="1" fontId="29" fillId="0" borderId="0" xfId="8" applyNumberFormat="1" applyFont="1" applyFill="1" applyBorder="1" applyAlignment="1">
      <alignment horizontal="center" vertical="center" wrapText="1"/>
    </xf>
    <xf numFmtId="1" fontId="16" fillId="0" borderId="78" xfId="0" applyNumberFormat="1" applyFont="1" applyFill="1" applyBorder="1" applyAlignment="1">
      <alignment horizontal="center" vertical="center"/>
    </xf>
    <xf numFmtId="168" fontId="20" fillId="3" borderId="0" xfId="2" applyNumberFormat="1" applyFont="1" applyFill="1" applyAlignment="1">
      <alignment horizontal="center" vertical="center"/>
    </xf>
    <xf numFmtId="3" fontId="16" fillId="3" borderId="0" xfId="0" applyNumberFormat="1" applyFont="1" applyFill="1" applyAlignment="1">
      <alignment horizontal="center" vertical="center"/>
    </xf>
    <xf numFmtId="0" fontId="16" fillId="3" borderId="0" xfId="2" applyNumberFormat="1" applyFont="1" applyFill="1" applyAlignment="1">
      <alignment horizontal="center" vertical="center"/>
    </xf>
    <xf numFmtId="0" fontId="7" fillId="18" borderId="75" xfId="0" applyFont="1" applyFill="1" applyBorder="1" applyAlignment="1">
      <alignment horizontal="center" vertical="center"/>
    </xf>
    <xf numFmtId="172" fontId="7" fillId="3" borderId="0" xfId="0" applyNumberFormat="1" applyFont="1" applyFill="1" applyAlignment="1">
      <alignment horizontal="center" vertical="center"/>
    </xf>
    <xf numFmtId="0" fontId="16" fillId="3" borderId="81" xfId="0" applyFont="1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6" fillId="0" borderId="66" xfId="0" applyFont="1" applyBorder="1" applyAlignment="1">
      <alignment horizontal="center" vertical="center"/>
    </xf>
    <xf numFmtId="0" fontId="31" fillId="0" borderId="67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/>
    </xf>
    <xf numFmtId="3" fontId="16" fillId="3" borderId="13" xfId="0" applyNumberFormat="1" applyFont="1" applyFill="1" applyBorder="1" applyAlignment="1">
      <alignment horizontal="center" vertical="center"/>
    </xf>
    <xf numFmtId="0" fontId="16" fillId="3" borderId="82" xfId="0" applyFont="1" applyFill="1" applyBorder="1" applyAlignment="1">
      <alignment horizontal="center" vertical="center"/>
    </xf>
    <xf numFmtId="0" fontId="0" fillId="19" borderId="27" xfId="0" applyFont="1" applyFill="1" applyBorder="1" applyAlignment="1">
      <alignment horizontal="center" vertical="center"/>
    </xf>
    <xf numFmtId="0" fontId="0" fillId="19" borderId="29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/>
    </xf>
    <xf numFmtId="0" fontId="8" fillId="19" borderId="30" xfId="0" applyFont="1" applyFill="1" applyBorder="1" applyAlignment="1">
      <alignment horizontal="center" vertical="center"/>
    </xf>
    <xf numFmtId="1" fontId="0" fillId="0" borderId="0" xfId="3" applyNumberFormat="1" applyFont="1" applyFill="1" applyBorder="1" applyAlignment="1">
      <alignment horizontal="center" vertical="center" wrapText="1"/>
    </xf>
    <xf numFmtId="0" fontId="0" fillId="0" borderId="32" xfId="0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/>
    </xf>
    <xf numFmtId="10" fontId="8" fillId="0" borderId="0" xfId="4" applyNumberFormat="1" applyFont="1" applyFill="1" applyBorder="1" applyAlignment="1">
      <alignment horizontal="center" vertical="center"/>
    </xf>
    <xf numFmtId="0" fontId="0" fillId="0" borderId="27" xfId="0" applyFont="1" applyFill="1" applyBorder="1" applyAlignment="1">
      <alignment horizontal="center" vertical="center"/>
    </xf>
    <xf numFmtId="0" fontId="0" fillId="19" borderId="28" xfId="0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horizontal="center" vertical="center"/>
    </xf>
    <xf numFmtId="3" fontId="16" fillId="0" borderId="30" xfId="0" applyNumberFormat="1" applyFont="1" applyFill="1" applyBorder="1" applyAlignment="1">
      <alignment horizontal="center" vertical="center"/>
    </xf>
    <xf numFmtId="10" fontId="20" fillId="3" borderId="0" xfId="2" applyNumberFormat="1" applyFont="1" applyFill="1" applyAlignment="1">
      <alignment horizontal="center" vertical="center"/>
    </xf>
    <xf numFmtId="175" fontId="16" fillId="3" borderId="0" xfId="0" applyNumberFormat="1" applyFont="1" applyFill="1" applyAlignment="1">
      <alignment horizontal="center" vertical="center"/>
    </xf>
    <xf numFmtId="2" fontId="16" fillId="3" borderId="0" xfId="2" applyNumberFormat="1" applyFont="1" applyFill="1" applyAlignment="1">
      <alignment horizontal="center" vertical="center"/>
    </xf>
    <xf numFmtId="0" fontId="16" fillId="9" borderId="83" xfId="0" applyFont="1" applyFill="1" applyBorder="1" applyAlignment="1">
      <alignment horizontal="center" vertical="center"/>
    </xf>
    <xf numFmtId="0" fontId="16" fillId="9" borderId="53" xfId="0" applyFont="1" applyFill="1" applyBorder="1" applyAlignment="1">
      <alignment horizontal="center" vertical="center"/>
    </xf>
    <xf numFmtId="0" fontId="16" fillId="9" borderId="36" xfId="0" applyFont="1" applyFill="1" applyBorder="1" applyAlignment="1">
      <alignment horizontal="center" vertical="center"/>
    </xf>
    <xf numFmtId="9" fontId="6" fillId="9" borderId="26" xfId="2" applyFont="1" applyFill="1" applyBorder="1" applyAlignment="1">
      <alignment horizontal="center" vertical="center"/>
    </xf>
    <xf numFmtId="9" fontId="6" fillId="9" borderId="25" xfId="2" applyFont="1" applyFill="1" applyBorder="1" applyAlignment="1">
      <alignment horizontal="center" vertical="center"/>
    </xf>
    <xf numFmtId="9" fontId="6" fillId="9" borderId="34" xfId="2" applyFont="1" applyFill="1" applyBorder="1" applyAlignment="1">
      <alignment horizontal="center" vertical="center"/>
    </xf>
    <xf numFmtId="9" fontId="6" fillId="9" borderId="84" xfId="2" applyFont="1" applyFill="1" applyBorder="1" applyAlignment="1">
      <alignment horizontal="center" vertical="center"/>
    </xf>
    <xf numFmtId="9" fontId="6" fillId="9" borderId="85" xfId="2" applyFont="1" applyFill="1" applyBorder="1" applyAlignment="1">
      <alignment horizontal="center" vertical="center"/>
    </xf>
    <xf numFmtId="0" fontId="6" fillId="9" borderId="85" xfId="2" applyNumberFormat="1" applyFont="1" applyFill="1" applyBorder="1" applyAlignment="1">
      <alignment horizontal="center" vertical="center"/>
    </xf>
    <xf numFmtId="0" fontId="6" fillId="9" borderId="34" xfId="2" applyNumberFormat="1" applyFont="1" applyFill="1" applyBorder="1" applyAlignment="1">
      <alignment horizontal="center" vertical="center"/>
    </xf>
    <xf numFmtId="1" fontId="6" fillId="9" borderId="84" xfId="0" applyNumberFormat="1" applyFont="1" applyFill="1" applyBorder="1" applyAlignment="1">
      <alignment horizontal="center" vertical="center"/>
    </xf>
    <xf numFmtId="0" fontId="7" fillId="20" borderId="40" xfId="0" applyFont="1" applyFill="1" applyBorder="1" applyAlignment="1">
      <alignment horizontal="center" vertical="center"/>
    </xf>
    <xf numFmtId="0" fontId="7" fillId="20" borderId="41" xfId="0" applyFont="1" applyFill="1" applyBorder="1" applyAlignment="1">
      <alignment horizontal="center" vertical="center"/>
    </xf>
    <xf numFmtId="0" fontId="7" fillId="20" borderId="42" xfId="0" applyFont="1" applyFill="1" applyBorder="1" applyAlignment="1">
      <alignment horizontal="center" vertical="center"/>
    </xf>
    <xf numFmtId="1" fontId="6" fillId="20" borderId="47" xfId="3" applyNumberFormat="1" applyFill="1" applyBorder="1" applyAlignment="1">
      <alignment horizontal="center" vertical="center"/>
    </xf>
    <xf numFmtId="1" fontId="0" fillId="20" borderId="41" xfId="3" applyNumberFormat="1" applyFont="1" applyFill="1" applyBorder="1" applyAlignment="1">
      <alignment horizontal="center" vertical="center"/>
    </xf>
    <xf numFmtId="1" fontId="6" fillId="20" borderId="41" xfId="3" applyNumberFormat="1" applyFill="1" applyBorder="1" applyAlignment="1">
      <alignment horizontal="center" vertical="center"/>
    </xf>
    <xf numFmtId="1" fontId="6" fillId="20" borderId="58" xfId="3" applyNumberFormat="1" applyFill="1" applyBorder="1" applyAlignment="1">
      <alignment horizontal="center" vertical="center"/>
    </xf>
    <xf numFmtId="1" fontId="8" fillId="4" borderId="45" xfId="3" applyNumberFormat="1" applyFont="1" applyFill="1" applyBorder="1" applyAlignment="1">
      <alignment horizontal="center" vertical="center"/>
    </xf>
    <xf numFmtId="1" fontId="6" fillId="20" borderId="42" xfId="3" applyNumberFormat="1" applyFill="1" applyBorder="1" applyAlignment="1">
      <alignment horizontal="center" vertical="center"/>
    </xf>
    <xf numFmtId="1" fontId="16" fillId="20" borderId="45" xfId="0" applyNumberFormat="1" applyFont="1" applyFill="1" applyBorder="1" applyAlignment="1">
      <alignment horizontal="center" vertical="center"/>
    </xf>
    <xf numFmtId="1" fontId="0" fillId="20" borderId="32" xfId="2" applyNumberFormat="1" applyFont="1" applyFill="1" applyBorder="1" applyAlignment="1">
      <alignment horizontal="center" vertical="center"/>
    </xf>
    <xf numFmtId="1" fontId="0" fillId="20" borderId="28" xfId="2" applyNumberFormat="1" applyFont="1" applyFill="1" applyBorder="1" applyAlignment="1">
      <alignment horizontal="center" vertical="center"/>
    </xf>
    <xf numFmtId="1" fontId="0" fillId="20" borderId="29" xfId="2" applyNumberFormat="1" applyFont="1" applyFill="1" applyBorder="1" applyAlignment="1">
      <alignment horizontal="center" vertical="center"/>
    </xf>
    <xf numFmtId="1" fontId="8" fillId="4" borderId="30" xfId="2" applyNumberFormat="1" applyFont="1" applyFill="1" applyBorder="1" applyAlignment="1">
      <alignment horizontal="center" vertical="center"/>
    </xf>
    <xf numFmtId="1" fontId="0" fillId="20" borderId="27" xfId="2" applyNumberFormat="1" applyFont="1" applyFill="1" applyBorder="1" applyAlignment="1">
      <alignment horizontal="center" vertical="center"/>
    </xf>
    <xf numFmtId="1" fontId="8" fillId="3" borderId="0" xfId="4" applyNumberFormat="1" applyFont="1" applyFill="1" applyBorder="1" applyAlignment="1">
      <alignment horizontal="center" vertical="center"/>
    </xf>
    <xf numFmtId="1" fontId="0" fillId="20" borderId="31" xfId="2" applyNumberFormat="1" applyFont="1" applyFill="1" applyBorder="1" applyAlignment="1">
      <alignment horizontal="center" vertical="center"/>
    </xf>
    <xf numFmtId="1" fontId="0" fillId="20" borderId="70" xfId="2" applyNumberFormat="1" applyFont="1" applyFill="1" applyBorder="1" applyAlignment="1">
      <alignment horizontal="center" vertical="center"/>
    </xf>
    <xf numFmtId="1" fontId="0" fillId="20" borderId="30" xfId="2" applyNumberFormat="1" applyFont="1" applyFill="1" applyBorder="1" applyAlignment="1">
      <alignment horizontal="center" vertical="center"/>
    </xf>
    <xf numFmtId="0" fontId="16" fillId="21" borderId="40" xfId="0" applyFont="1" applyFill="1" applyBorder="1" applyAlignment="1">
      <alignment horizontal="center" vertical="center"/>
    </xf>
    <xf numFmtId="0" fontId="16" fillId="21" borderId="41" xfId="0" applyFont="1" applyFill="1" applyBorder="1" applyAlignment="1">
      <alignment horizontal="center" vertical="center"/>
    </xf>
    <xf numFmtId="0" fontId="16" fillId="21" borderId="42" xfId="0" applyFont="1" applyFill="1" applyBorder="1" applyAlignment="1">
      <alignment horizontal="center" vertical="center"/>
    </xf>
    <xf numFmtId="1" fontId="6" fillId="21" borderId="47" xfId="3" applyNumberFormat="1" applyFill="1" applyBorder="1" applyAlignment="1">
      <alignment horizontal="center" vertical="center"/>
    </xf>
    <xf numFmtId="1" fontId="0" fillId="21" borderId="41" xfId="3" applyNumberFormat="1" applyFont="1" applyFill="1" applyBorder="1" applyAlignment="1">
      <alignment horizontal="center" vertical="center"/>
    </xf>
    <xf numFmtId="0" fontId="0" fillId="21" borderId="42" xfId="0" applyFill="1" applyBorder="1" applyAlignment="1">
      <alignment horizontal="center" vertical="center"/>
    </xf>
    <xf numFmtId="0" fontId="0" fillId="21" borderId="40" xfId="0" applyFill="1" applyBorder="1" applyAlignment="1">
      <alignment horizontal="center" vertical="center"/>
    </xf>
    <xf numFmtId="0" fontId="0" fillId="21" borderId="41" xfId="0" applyFill="1" applyBorder="1" applyAlignment="1">
      <alignment horizontal="center" vertical="center"/>
    </xf>
    <xf numFmtId="1" fontId="6" fillId="21" borderId="41" xfId="3" applyNumberFormat="1" applyFill="1" applyBorder="1" applyAlignment="1">
      <alignment horizontal="center" vertical="center"/>
    </xf>
    <xf numFmtId="1" fontId="6" fillId="21" borderId="44" xfId="3" applyNumberFormat="1" applyFill="1" applyBorder="1" applyAlignment="1">
      <alignment horizontal="center" vertical="center"/>
    </xf>
    <xf numFmtId="1" fontId="0" fillId="21" borderId="42" xfId="3" applyNumberFormat="1" applyFont="1" applyFill="1" applyBorder="1" applyAlignment="1">
      <alignment horizontal="center" vertical="center"/>
    </xf>
    <xf numFmtId="1" fontId="0" fillId="4" borderId="45" xfId="3" applyNumberFormat="1" applyFont="1" applyFill="1" applyBorder="1" applyAlignment="1">
      <alignment horizontal="center" vertical="center"/>
    </xf>
    <xf numFmtId="1" fontId="16" fillId="21" borderId="45" xfId="0" applyNumberFormat="1" applyFont="1" applyFill="1" applyBorder="1" applyAlignment="1">
      <alignment horizontal="center" vertical="center"/>
    </xf>
    <xf numFmtId="0" fontId="10" fillId="3" borderId="0" xfId="15" applyFont="1" applyFill="1" applyAlignment="1">
      <alignment horizontal="center" vertical="center"/>
    </xf>
    <xf numFmtId="0" fontId="16" fillId="21" borderId="27" xfId="0" applyFont="1" applyFill="1" applyBorder="1" applyAlignment="1">
      <alignment horizontal="center" vertical="center"/>
    </xf>
    <xf numFmtId="0" fontId="16" fillId="21" borderId="28" xfId="0" applyFont="1" applyFill="1" applyBorder="1" applyAlignment="1">
      <alignment horizontal="center" vertical="center"/>
    </xf>
    <xf numFmtId="0" fontId="16" fillId="21" borderId="29" xfId="0" applyFont="1" applyFill="1" applyBorder="1" applyAlignment="1">
      <alignment horizontal="center" vertical="center"/>
    </xf>
    <xf numFmtId="0" fontId="34" fillId="21" borderId="32" xfId="15" applyFont="1" applyFill="1" applyBorder="1" applyAlignment="1">
      <alignment horizontal="center" vertical="center"/>
    </xf>
    <xf numFmtId="0" fontId="34" fillId="21" borderId="28" xfId="15" applyFont="1" applyFill="1" applyBorder="1" applyAlignment="1">
      <alignment horizontal="center" vertical="center"/>
    </xf>
    <xf numFmtId="1" fontId="6" fillId="21" borderId="29" xfId="8" applyNumberFormat="1" applyFill="1" applyBorder="1" applyAlignment="1">
      <alignment horizontal="center" vertical="center"/>
    </xf>
    <xf numFmtId="1" fontId="6" fillId="4" borderId="30" xfId="8" applyNumberFormat="1" applyFill="1" applyBorder="1" applyAlignment="1">
      <alignment horizontal="center" vertical="center"/>
    </xf>
    <xf numFmtId="1" fontId="0" fillId="21" borderId="27" xfId="8" applyNumberFormat="1" applyFont="1" applyFill="1" applyBorder="1" applyAlignment="1">
      <alignment horizontal="center" vertical="center"/>
    </xf>
    <xf numFmtId="1" fontId="6" fillId="21" borderId="28" xfId="8" applyNumberFormat="1" applyFill="1" applyBorder="1" applyAlignment="1">
      <alignment horizontal="center" vertical="center"/>
    </xf>
    <xf numFmtId="1" fontId="6" fillId="21" borderId="31" xfId="3" applyNumberFormat="1" applyFill="1" applyBorder="1" applyAlignment="1">
      <alignment horizontal="center" vertical="center"/>
    </xf>
    <xf numFmtId="1" fontId="0" fillId="21" borderId="29" xfId="2" applyNumberFormat="1" applyFont="1" applyFill="1" applyBorder="1" applyAlignment="1">
      <alignment horizontal="center" vertical="center"/>
    </xf>
    <xf numFmtId="1" fontId="16" fillId="21" borderId="30" xfId="0" applyNumberFormat="1" applyFont="1" applyFill="1" applyBorder="1" applyAlignment="1">
      <alignment horizontal="center" vertical="center"/>
    </xf>
    <xf numFmtId="0" fontId="10" fillId="21" borderId="66" xfId="15" applyFont="1" applyFill="1" applyBorder="1" applyAlignment="1">
      <alignment horizontal="center" vertical="center"/>
    </xf>
    <xf numFmtId="0" fontId="10" fillId="21" borderId="67" xfId="15" applyFont="1" applyFill="1" applyBorder="1" applyAlignment="1">
      <alignment horizontal="center" vertical="center"/>
    </xf>
    <xf numFmtId="0" fontId="10" fillId="21" borderId="68" xfId="15" applyFont="1" applyFill="1" applyBorder="1" applyAlignment="1">
      <alignment horizontal="center" vertical="center"/>
    </xf>
    <xf numFmtId="1" fontId="0" fillId="21" borderId="7" xfId="3" applyNumberFormat="1" applyFont="1" applyFill="1" applyBorder="1" applyAlignment="1">
      <alignment horizontal="center" vertical="center"/>
    </xf>
    <xf numFmtId="0" fontId="0" fillId="21" borderId="67" xfId="11" applyFont="1" applyFill="1" applyBorder="1" applyAlignment="1">
      <alignment horizontal="center" vertical="center"/>
    </xf>
    <xf numFmtId="0" fontId="34" fillId="21" borderId="67" xfId="15" applyFont="1" applyFill="1" applyBorder="1" applyAlignment="1">
      <alignment horizontal="center" vertical="center"/>
    </xf>
    <xf numFmtId="1" fontId="6" fillId="21" borderId="68" xfId="8" applyNumberFormat="1" applyFill="1" applyBorder="1" applyAlignment="1">
      <alignment horizontal="center" vertical="center"/>
    </xf>
    <xf numFmtId="1" fontId="6" fillId="4" borderId="13" xfId="8" applyNumberFormat="1" applyFill="1" applyBorder="1" applyAlignment="1">
      <alignment horizontal="center" vertical="center"/>
    </xf>
    <xf numFmtId="1" fontId="6" fillId="21" borderId="66" xfId="8" applyNumberFormat="1" applyFill="1" applyBorder="1" applyAlignment="1">
      <alignment horizontal="center" vertical="center"/>
    </xf>
    <xf numFmtId="1" fontId="6" fillId="21" borderId="67" xfId="8" applyNumberFormat="1" applyFill="1" applyBorder="1" applyAlignment="1">
      <alignment horizontal="center" vertical="center"/>
    </xf>
    <xf numFmtId="1" fontId="0" fillId="21" borderId="68" xfId="3" applyNumberFormat="1" applyFont="1" applyFill="1" applyBorder="1" applyAlignment="1">
      <alignment horizontal="center" vertical="center"/>
    </xf>
    <xf numFmtId="1" fontId="0" fillId="4" borderId="13" xfId="3" applyNumberFormat="1" applyFont="1" applyFill="1" applyBorder="1" applyAlignment="1">
      <alignment horizontal="center" vertical="center"/>
    </xf>
    <xf numFmtId="1" fontId="16" fillId="21" borderId="13" xfId="0" applyNumberFormat="1" applyFont="1" applyFill="1" applyBorder="1" applyAlignment="1">
      <alignment horizontal="center" vertical="center"/>
    </xf>
    <xf numFmtId="167" fontId="10" fillId="3" borderId="0" xfId="15" applyNumberFormat="1" applyFont="1" applyFill="1" applyAlignment="1">
      <alignment horizontal="center" vertical="center"/>
    </xf>
    <xf numFmtId="14" fontId="16" fillId="3" borderId="0" xfId="0" applyNumberFormat="1" applyFont="1" applyFill="1" applyAlignment="1">
      <alignment horizontal="center" vertical="center"/>
    </xf>
    <xf numFmtId="0" fontId="10" fillId="21" borderId="35" xfId="15" applyFont="1" applyFill="1" applyBorder="1" applyAlignment="1">
      <alignment horizontal="center" vertical="center"/>
    </xf>
    <xf numFmtId="0" fontId="10" fillId="21" borderId="71" xfId="15" applyFont="1" applyFill="1" applyBorder="1" applyAlignment="1">
      <alignment horizontal="center" vertical="center"/>
    </xf>
    <xf numFmtId="0" fontId="10" fillId="21" borderId="72" xfId="15" applyFont="1" applyFill="1" applyBorder="1" applyAlignment="1">
      <alignment horizontal="center" vertical="center"/>
    </xf>
    <xf numFmtId="1" fontId="0" fillId="21" borderId="73" xfId="3" applyNumberFormat="1" applyFont="1" applyFill="1" applyBorder="1" applyAlignment="1">
      <alignment horizontal="center" vertical="center"/>
    </xf>
    <xf numFmtId="0" fontId="0" fillId="21" borderId="71" xfId="11" applyFont="1" applyFill="1" applyBorder="1" applyAlignment="1">
      <alignment horizontal="center" vertical="center"/>
    </xf>
    <xf numFmtId="0" fontId="34" fillId="21" borderId="71" xfId="15" applyFont="1" applyFill="1" applyBorder="1" applyAlignment="1">
      <alignment horizontal="center" vertical="center"/>
    </xf>
    <xf numFmtId="1" fontId="0" fillId="21" borderId="72" xfId="8" applyNumberFormat="1" applyFont="1" applyFill="1" applyBorder="1" applyAlignment="1">
      <alignment horizontal="center" vertical="center"/>
    </xf>
    <xf numFmtId="1" fontId="6" fillId="4" borderId="78" xfId="8" applyNumberFormat="1" applyFill="1" applyBorder="1" applyAlignment="1">
      <alignment horizontal="center" vertical="center"/>
    </xf>
    <xf numFmtId="1" fontId="6" fillId="21" borderId="35" xfId="3" applyNumberFormat="1" applyFill="1" applyBorder="1" applyAlignment="1">
      <alignment horizontal="center" vertical="center"/>
    </xf>
    <xf numFmtId="1" fontId="6" fillId="21" borderId="71" xfId="8" applyNumberFormat="1" applyFill="1" applyBorder="1" applyAlignment="1">
      <alignment horizontal="center" vertical="center"/>
    </xf>
    <xf numFmtId="1" fontId="6" fillId="21" borderId="72" xfId="8" applyNumberFormat="1" applyFill="1" applyBorder="1" applyAlignment="1">
      <alignment horizontal="center" vertical="center"/>
    </xf>
    <xf numFmtId="0" fontId="34" fillId="21" borderId="73" xfId="15" applyFont="1" applyFill="1" applyBorder="1" applyAlignment="1">
      <alignment horizontal="center" vertical="center"/>
    </xf>
    <xf numFmtId="1" fontId="6" fillId="21" borderId="74" xfId="3" applyNumberFormat="1" applyFill="1" applyBorder="1" applyAlignment="1">
      <alignment horizontal="center" vertical="center"/>
    </xf>
    <xf numFmtId="1" fontId="6" fillId="21" borderId="72" xfId="3" applyNumberFormat="1" applyFill="1" applyBorder="1" applyAlignment="1">
      <alignment horizontal="center" vertical="center"/>
    </xf>
    <xf numFmtId="1" fontId="6" fillId="4" borderId="78" xfId="3" applyNumberFormat="1" applyFill="1" applyBorder="1" applyAlignment="1">
      <alignment horizontal="center" vertical="center"/>
    </xf>
    <xf numFmtId="1" fontId="16" fillId="21" borderId="78" xfId="0" applyNumberFormat="1" applyFont="1" applyFill="1" applyBorder="1" applyAlignment="1">
      <alignment horizontal="center" vertical="center"/>
    </xf>
    <xf numFmtId="43" fontId="10" fillId="3" borderId="0" xfId="2" applyNumberFormat="1" applyFont="1" applyFill="1" applyAlignment="1">
      <alignment horizontal="center" vertical="center"/>
    </xf>
    <xf numFmtId="0" fontId="7" fillId="18" borderId="52" xfId="0" applyFont="1" applyFill="1" applyBorder="1" applyAlignment="1">
      <alignment horizontal="center" vertical="center"/>
    </xf>
    <xf numFmtId="0" fontId="7" fillId="18" borderId="55" xfId="0" applyFont="1" applyFill="1" applyBorder="1" applyAlignment="1">
      <alignment horizontal="center" vertical="center"/>
    </xf>
    <xf numFmtId="0" fontId="7" fillId="18" borderId="56" xfId="0" applyFont="1" applyFill="1" applyBorder="1" applyAlignment="1">
      <alignment horizontal="center" vertical="center"/>
    </xf>
    <xf numFmtId="1" fontId="8" fillId="10" borderId="64" xfId="3" applyNumberFormat="1" applyFont="1" applyFill="1" applyBorder="1" applyAlignment="1">
      <alignment horizontal="center" vertical="center"/>
    </xf>
    <xf numFmtId="1" fontId="8" fillId="10" borderId="38" xfId="3" applyNumberFormat="1" applyFont="1" applyFill="1" applyBorder="1" applyAlignment="1">
      <alignment horizontal="center" vertical="center"/>
    </xf>
    <xf numFmtId="1" fontId="8" fillId="10" borderId="63" xfId="3" applyNumberFormat="1" applyFont="1" applyFill="1" applyBorder="1" applyAlignment="1">
      <alignment horizontal="center" vertical="center"/>
    </xf>
    <xf numFmtId="0" fontId="7" fillId="10" borderId="65" xfId="0" applyFont="1" applyFill="1" applyBorder="1" applyAlignment="1">
      <alignment horizontal="right" vertical="center"/>
    </xf>
    <xf numFmtId="0" fontId="7" fillId="10" borderId="86" xfId="0" applyFont="1" applyFill="1" applyBorder="1" applyAlignment="1">
      <alignment horizontal="right" vertical="center"/>
    </xf>
    <xf numFmtId="9" fontId="8" fillId="10" borderId="53" xfId="2" applyNumberFormat="1" applyFont="1" applyFill="1" applyBorder="1" applyAlignment="1">
      <alignment horizontal="center" vertical="center"/>
    </xf>
    <xf numFmtId="9" fontId="8" fillId="10" borderId="0" xfId="2" applyNumberFormat="1" applyFont="1" applyFill="1" applyBorder="1" applyAlignment="1">
      <alignment horizontal="center" vertical="center"/>
    </xf>
    <xf numFmtId="9" fontId="8" fillId="10" borderId="37" xfId="2" applyNumberFormat="1" applyFont="1" applyFill="1" applyBorder="1" applyAlignment="1">
      <alignment horizontal="center" vertical="center"/>
    </xf>
    <xf numFmtId="9" fontId="0" fillId="3" borderId="0" xfId="3" applyNumberFormat="1" applyFont="1" applyFill="1" applyBorder="1" applyAlignment="1">
      <alignment horizontal="center" vertical="center" wrapText="1"/>
    </xf>
    <xf numFmtId="9" fontId="8" fillId="10" borderId="33" xfId="2" applyNumberFormat="1" applyFont="1" applyFill="1" applyBorder="1" applyAlignment="1">
      <alignment horizontal="center" vertical="center"/>
    </xf>
    <xf numFmtId="9" fontId="8" fillId="10" borderId="67" xfId="2" applyNumberFormat="1" applyFont="1" applyFill="1" applyBorder="1" applyAlignment="1">
      <alignment horizontal="center" vertical="center"/>
    </xf>
    <xf numFmtId="9" fontId="8" fillId="10" borderId="36" xfId="2" applyNumberFormat="1" applyFont="1" applyFill="1" applyBorder="1" applyAlignment="1">
      <alignment horizontal="center" vertical="center"/>
    </xf>
    <xf numFmtId="9" fontId="8" fillId="3" borderId="0" xfId="4" applyNumberFormat="1" applyFont="1" applyFill="1" applyBorder="1" applyAlignment="1">
      <alignment horizontal="center" vertical="center"/>
    </xf>
    <xf numFmtId="9" fontId="8" fillId="10" borderId="54" xfId="2" applyNumberFormat="1" applyFont="1" applyFill="1" applyBorder="1" applyAlignment="1">
      <alignment horizontal="center" vertical="center"/>
    </xf>
    <xf numFmtId="9" fontId="29" fillId="3" borderId="0" xfId="8" applyNumberFormat="1" applyFont="1" applyFill="1" applyBorder="1" applyAlignment="1">
      <alignment horizontal="center" vertical="center" wrapText="1"/>
    </xf>
    <xf numFmtId="9" fontId="7" fillId="10" borderId="37" xfId="2" applyNumberFormat="1" applyFont="1" applyFill="1" applyBorder="1" applyAlignment="1">
      <alignment horizontal="center" vertical="center"/>
    </xf>
    <xf numFmtId="0" fontId="7" fillId="7" borderId="87" xfId="0" applyFont="1" applyFill="1" applyBorder="1" applyAlignment="1">
      <alignment horizontal="right" vertical="center"/>
    </xf>
    <xf numFmtId="0" fontId="7" fillId="7" borderId="19" xfId="0" applyFont="1" applyFill="1" applyBorder="1" applyAlignment="1">
      <alignment horizontal="right" vertical="center"/>
    </xf>
    <xf numFmtId="0" fontId="7" fillId="7" borderId="20" xfId="0" applyFont="1" applyFill="1" applyBorder="1" applyAlignment="1">
      <alignment horizontal="right" vertical="center"/>
    </xf>
    <xf numFmtId="168" fontId="33" fillId="0" borderId="19" xfId="2" applyNumberFormat="1" applyFont="1" applyFill="1" applyBorder="1" applyAlignment="1">
      <alignment horizontal="center" vertical="center"/>
    </xf>
    <xf numFmtId="168" fontId="33" fillId="0" borderId="20" xfId="2" applyNumberFormat="1" applyFont="1" applyFill="1" applyBorder="1" applyAlignment="1">
      <alignment horizontal="center" vertical="center"/>
    </xf>
    <xf numFmtId="168" fontId="8" fillId="4" borderId="21" xfId="2" applyNumberFormat="1" applyFont="1" applyFill="1" applyBorder="1" applyAlignment="1">
      <alignment horizontal="center" vertical="center"/>
    </xf>
    <xf numFmtId="168" fontId="33" fillId="3" borderId="18" xfId="2" applyNumberFormat="1" applyFont="1" applyFill="1" applyBorder="1" applyAlignment="1">
      <alignment horizontal="center" vertical="center"/>
    </xf>
    <xf numFmtId="168" fontId="33" fillId="3" borderId="19" xfId="2" applyNumberFormat="1" applyFont="1" applyFill="1" applyBorder="1" applyAlignment="1">
      <alignment horizontal="center" vertical="center"/>
    </xf>
    <xf numFmtId="168" fontId="33" fillId="3" borderId="20" xfId="2" applyNumberFormat="1" applyFont="1" applyFill="1" applyBorder="1" applyAlignment="1">
      <alignment horizontal="center" vertical="center"/>
    </xf>
    <xf numFmtId="168" fontId="33" fillId="4" borderId="21" xfId="2" applyNumberFormat="1" applyFont="1" applyFill="1" applyBorder="1" applyAlignment="1">
      <alignment horizontal="center" vertical="center"/>
    </xf>
    <xf numFmtId="168" fontId="7" fillId="3" borderId="21" xfId="2" applyNumberFormat="1" applyFont="1" applyFill="1" applyBorder="1" applyAlignment="1">
      <alignment horizontal="center" vertical="center"/>
    </xf>
    <xf numFmtId="167" fontId="7" fillId="3" borderId="0" xfId="0" applyNumberFormat="1" applyFont="1" applyFill="1" applyAlignment="1">
      <alignment horizontal="center" vertical="center"/>
    </xf>
    <xf numFmtId="0" fontId="7" fillId="10" borderId="87" xfId="0" applyFont="1" applyFill="1" applyBorder="1" applyAlignment="1">
      <alignment horizontal="right" vertical="center"/>
    </xf>
    <xf numFmtId="0" fontId="7" fillId="10" borderId="19" xfId="0" applyFont="1" applyFill="1" applyBorder="1" applyAlignment="1">
      <alignment horizontal="right" vertical="center"/>
    </xf>
    <xf numFmtId="0" fontId="7" fillId="10" borderId="20" xfId="0" applyFont="1" applyFill="1" applyBorder="1" applyAlignment="1">
      <alignment horizontal="right" vertical="center"/>
    </xf>
    <xf numFmtId="9" fontId="33" fillId="10" borderId="7" xfId="2" applyNumberFormat="1" applyFont="1" applyFill="1" applyBorder="1" applyAlignment="1">
      <alignment horizontal="center" vertical="center"/>
    </xf>
    <xf numFmtId="9" fontId="8" fillId="10" borderId="8" xfId="2" applyNumberFormat="1" applyFont="1" applyFill="1" applyBorder="1" applyAlignment="1">
      <alignment horizontal="center" vertical="center"/>
    </xf>
    <xf numFmtId="9" fontId="8" fillId="10" borderId="13" xfId="2" applyNumberFormat="1" applyFont="1" applyFill="1" applyBorder="1" applyAlignment="1">
      <alignment horizontal="center" vertical="center"/>
    </xf>
    <xf numFmtId="9" fontId="8" fillId="10" borderId="7" xfId="2" applyNumberFormat="1" applyFont="1" applyFill="1" applyBorder="1" applyAlignment="1">
      <alignment horizontal="center" vertical="center"/>
    </xf>
    <xf numFmtId="9" fontId="8" fillId="10" borderId="76" xfId="2" applyNumberFormat="1" applyFont="1" applyFill="1" applyBorder="1" applyAlignment="1">
      <alignment horizontal="center" vertical="center"/>
    </xf>
    <xf numFmtId="9" fontId="33" fillId="10" borderId="76" xfId="2" applyNumberFormat="1" applyFont="1" applyFill="1" applyBorder="1" applyAlignment="1">
      <alignment horizontal="center" vertical="center"/>
    </xf>
    <xf numFmtId="9" fontId="33" fillId="10" borderId="67" xfId="2" applyNumberFormat="1" applyFont="1" applyFill="1" applyBorder="1" applyAlignment="1">
      <alignment horizontal="center" vertical="center"/>
    </xf>
    <xf numFmtId="9" fontId="33" fillId="10" borderId="8" xfId="2" applyNumberFormat="1" applyFont="1" applyFill="1" applyBorder="1" applyAlignment="1">
      <alignment horizontal="center" vertical="center"/>
    </xf>
    <xf numFmtId="9" fontId="33" fillId="10" borderId="13" xfId="2" applyNumberFormat="1" applyFont="1" applyFill="1" applyBorder="1" applyAlignment="1">
      <alignment horizontal="center" vertical="center"/>
    </xf>
    <xf numFmtId="9" fontId="7" fillId="10" borderId="13" xfId="2" applyNumberFormat="1" applyFont="1" applyFill="1" applyBorder="1" applyAlignment="1">
      <alignment horizontal="center" vertical="center"/>
    </xf>
    <xf numFmtId="168" fontId="33" fillId="0" borderId="18" xfId="2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horizontal="right" vertical="center"/>
    </xf>
    <xf numFmtId="0" fontId="7" fillId="7" borderId="88" xfId="0" applyFont="1" applyFill="1" applyBorder="1" applyAlignment="1">
      <alignment horizontal="right" vertical="center"/>
    </xf>
    <xf numFmtId="0" fontId="7" fillId="7" borderId="77" xfId="0" applyFont="1" applyFill="1" applyBorder="1" applyAlignment="1">
      <alignment horizontal="right" vertical="center"/>
    </xf>
    <xf numFmtId="168" fontId="8" fillId="0" borderId="73" xfId="2" applyNumberFormat="1" applyFont="1" applyFill="1" applyBorder="1" applyAlignment="1">
      <alignment horizontal="center" vertical="center"/>
    </xf>
    <xf numFmtId="168" fontId="8" fillId="0" borderId="71" xfId="2" applyNumberFormat="1" applyFont="1" applyFill="1" applyBorder="1" applyAlignment="1">
      <alignment horizontal="center" vertical="center"/>
    </xf>
    <xf numFmtId="168" fontId="8" fillId="0" borderId="72" xfId="2" applyNumberFormat="1" applyFont="1" applyFill="1" applyBorder="1" applyAlignment="1">
      <alignment horizontal="center" vertical="center"/>
    </xf>
    <xf numFmtId="168" fontId="8" fillId="4" borderId="78" xfId="2" applyNumberFormat="1" applyFont="1" applyFill="1" applyBorder="1" applyAlignment="1">
      <alignment horizontal="center" vertical="center"/>
    </xf>
    <xf numFmtId="168" fontId="8" fillId="0" borderId="35" xfId="2" applyNumberFormat="1" applyFont="1" applyFill="1" applyBorder="1" applyAlignment="1">
      <alignment horizontal="center" vertical="center"/>
    </xf>
    <xf numFmtId="168" fontId="7" fillId="0" borderId="30" xfId="2" applyNumberFormat="1" applyFont="1" applyFill="1" applyBorder="1" applyAlignment="1">
      <alignment horizontal="center" vertical="center"/>
    </xf>
    <xf numFmtId="1" fontId="35" fillId="3" borderId="0" xfId="0" applyNumberFormat="1" applyFont="1" applyFill="1" applyAlignment="1">
      <alignment horizontal="right" vertical="center"/>
    </xf>
    <xf numFmtId="176" fontId="35" fillId="3" borderId="0" xfId="0" applyNumberFormat="1" applyFont="1" applyFill="1" applyAlignment="1">
      <alignment vertical="center" wrapText="1"/>
    </xf>
    <xf numFmtId="14" fontId="35" fillId="3" borderId="75" xfId="0" applyNumberFormat="1" applyFont="1" applyFill="1" applyBorder="1" applyAlignment="1">
      <alignment horizontal="center" vertical="center"/>
    </xf>
    <xf numFmtId="14" fontId="35" fillId="3" borderId="60" xfId="0" applyNumberFormat="1" applyFont="1" applyFill="1" applyBorder="1" applyAlignment="1">
      <alignment horizontal="center" vertical="center"/>
    </xf>
    <xf numFmtId="14" fontId="35" fillId="3" borderId="61" xfId="0" applyNumberFormat="1" applyFont="1" applyFill="1" applyBorder="1" applyAlignment="1">
      <alignment horizontal="center" vertical="center"/>
    </xf>
    <xf numFmtId="1" fontId="8" fillId="3" borderId="64" xfId="3" applyNumberFormat="1" applyFont="1" applyFill="1" applyBorder="1" applyAlignment="1">
      <alignment horizontal="center" vertical="center"/>
    </xf>
    <xf numFmtId="0" fontId="8" fillId="3" borderId="60" xfId="0" applyFont="1" applyFill="1" applyBorder="1" applyAlignment="1">
      <alignment horizontal="center" vertical="center"/>
    </xf>
    <xf numFmtId="0" fontId="8" fillId="3" borderId="61" xfId="0" applyFont="1" applyFill="1" applyBorder="1" applyAlignment="1">
      <alignment horizontal="center" vertical="center"/>
    </xf>
    <xf numFmtId="0" fontId="9" fillId="4" borderId="63" xfId="0" applyFont="1" applyFill="1" applyBorder="1" applyAlignment="1">
      <alignment horizontal="center" vertical="center"/>
    </xf>
    <xf numFmtId="0" fontId="36" fillId="3" borderId="59" xfId="0" applyFont="1" applyFill="1" applyBorder="1" applyAlignment="1">
      <alignment horizontal="center" vertical="center"/>
    </xf>
    <xf numFmtId="0" fontId="36" fillId="3" borderId="60" xfId="0" applyFont="1" applyFill="1" applyBorder="1" applyAlignment="1">
      <alignment horizontal="center" vertical="center"/>
    </xf>
    <xf numFmtId="0" fontId="36" fillId="17" borderId="60" xfId="0" applyFont="1" applyFill="1" applyBorder="1" applyAlignment="1">
      <alignment horizontal="center" vertical="center"/>
    </xf>
    <xf numFmtId="0" fontId="8" fillId="3" borderId="64" xfId="0" applyFont="1" applyFill="1" applyBorder="1" applyAlignment="1">
      <alignment horizontal="center" vertical="center"/>
    </xf>
    <xf numFmtId="0" fontId="8" fillId="3" borderId="89" xfId="0" applyFont="1" applyFill="1" applyBorder="1" applyAlignment="1">
      <alignment horizontal="center" vertical="center"/>
    </xf>
    <xf numFmtId="0" fontId="7" fillId="3" borderId="84" xfId="0" applyFont="1" applyFill="1" applyBorder="1" applyAlignment="1">
      <alignment horizontal="center" vertical="center"/>
    </xf>
    <xf numFmtId="167" fontId="35" fillId="3" borderId="0" xfId="0" applyNumberFormat="1" applyFont="1" applyFill="1" applyAlignment="1">
      <alignment horizontal="center" vertical="center"/>
    </xf>
    <xf numFmtId="0" fontId="37" fillId="4" borderId="75" xfId="0" applyFont="1" applyFill="1" applyBorder="1" applyAlignment="1">
      <alignment horizontal="center" vertical="center"/>
    </xf>
    <xf numFmtId="0" fontId="35" fillId="3" borderId="60" xfId="0" applyFont="1" applyFill="1" applyBorder="1" applyAlignment="1">
      <alignment horizontal="center" vertical="center"/>
    </xf>
    <xf numFmtId="0" fontId="35" fillId="3" borderId="79" xfId="0" applyFont="1" applyFill="1" applyBorder="1" applyAlignment="1">
      <alignment horizontal="center" vertical="center"/>
    </xf>
    <xf numFmtId="0" fontId="35" fillId="3" borderId="0" xfId="0" applyFont="1" applyFill="1" applyAlignment="1">
      <alignment horizontal="center" vertical="center"/>
    </xf>
    <xf numFmtId="10" fontId="35" fillId="3" borderId="0" xfId="2" applyNumberFormat="1" applyFont="1" applyFill="1" applyAlignment="1">
      <alignment horizontal="center" vertical="center"/>
    </xf>
    <xf numFmtId="0" fontId="38" fillId="18" borderId="7" xfId="0" applyFont="1" applyFill="1" applyBorder="1" applyAlignment="1">
      <alignment horizontal="center" vertical="center"/>
    </xf>
    <xf numFmtId="0" fontId="38" fillId="18" borderId="8" xfId="0" applyFont="1" applyFill="1" applyBorder="1" applyAlignment="1">
      <alignment horizontal="center" vertical="center"/>
    </xf>
    <xf numFmtId="2" fontId="1" fillId="22" borderId="7" xfId="2" applyNumberFormat="1" applyFill="1" applyBorder="1" applyAlignment="1">
      <alignment horizontal="center" vertical="center"/>
    </xf>
    <xf numFmtId="2" fontId="1" fillId="22" borderId="67" xfId="2" applyNumberFormat="1" applyFill="1" applyBorder="1" applyAlignment="1">
      <alignment horizontal="center" vertical="center"/>
    </xf>
    <xf numFmtId="1" fontId="1" fillId="22" borderId="67" xfId="2" applyNumberFormat="1" applyFill="1" applyBorder="1" applyAlignment="1">
      <alignment horizontal="center" vertical="center"/>
    </xf>
    <xf numFmtId="0" fontId="1" fillId="22" borderId="67" xfId="2" applyNumberFormat="1" applyFill="1" applyBorder="1" applyAlignment="1">
      <alignment horizontal="center" vertical="center"/>
    </xf>
    <xf numFmtId="9" fontId="1" fillId="22" borderId="68" xfId="2" applyFill="1" applyBorder="1" applyAlignment="1">
      <alignment horizontal="center" vertical="center"/>
    </xf>
    <xf numFmtId="168" fontId="1" fillId="22" borderId="13" xfId="2" applyNumberFormat="1" applyFill="1" applyBorder="1" applyAlignment="1">
      <alignment horizontal="center" vertical="center"/>
    </xf>
    <xf numFmtId="9" fontId="1" fillId="22" borderId="66" xfId="2" applyFill="1" applyBorder="1" applyAlignment="1">
      <alignment horizontal="center" vertical="center"/>
    </xf>
    <xf numFmtId="9" fontId="1" fillId="22" borderId="67" xfId="2" applyFill="1" applyBorder="1" applyAlignment="1">
      <alignment horizontal="center" vertical="center"/>
    </xf>
    <xf numFmtId="1" fontId="1" fillId="22" borderId="13" xfId="2" applyNumberFormat="1" applyFill="1" applyBorder="1" applyAlignment="1">
      <alignment horizontal="center" vertical="center"/>
    </xf>
    <xf numFmtId="9" fontId="1" fillId="22" borderId="7" xfId="2" applyFill="1" applyBorder="1" applyAlignment="1">
      <alignment horizontal="center" vertical="center"/>
    </xf>
    <xf numFmtId="9" fontId="1" fillId="22" borderId="76" xfId="2" applyFill="1" applyBorder="1" applyAlignment="1">
      <alignment horizontal="center" vertical="center"/>
    </xf>
    <xf numFmtId="9" fontId="1" fillId="22" borderId="8" xfId="2" applyFill="1" applyBorder="1" applyAlignment="1">
      <alignment horizontal="center" vertical="center"/>
    </xf>
    <xf numFmtId="9" fontId="1" fillId="22" borderId="13" xfId="2" applyFill="1" applyBorder="1" applyAlignment="1">
      <alignment horizontal="center" vertical="center"/>
    </xf>
    <xf numFmtId="167" fontId="38" fillId="18" borderId="13" xfId="10" applyNumberFormat="1" applyFont="1" applyFill="1" applyBorder="1" applyAlignment="1">
      <alignment horizontal="center" vertical="center"/>
    </xf>
    <xf numFmtId="166" fontId="38" fillId="3" borderId="0" xfId="0" applyNumberFormat="1" applyFont="1" applyFill="1" applyAlignment="1">
      <alignment horizontal="right" vertical="center"/>
    </xf>
    <xf numFmtId="0" fontId="35" fillId="18" borderId="81" xfId="0" applyFont="1" applyFill="1" applyBorder="1" applyAlignment="1">
      <alignment horizontal="center" vertical="center"/>
    </xf>
    <xf numFmtId="1" fontId="35" fillId="18" borderId="67" xfId="0" applyNumberFormat="1" applyFont="1" applyFill="1" applyBorder="1" applyAlignment="1">
      <alignment horizontal="right" vertical="center"/>
    </xf>
    <xf numFmtId="1" fontId="35" fillId="18" borderId="90" xfId="0" applyNumberFormat="1" applyFont="1" applyFill="1" applyBorder="1" applyAlignment="1">
      <alignment vertical="center"/>
    </xf>
    <xf numFmtId="10" fontId="35" fillId="18" borderId="90" xfId="2" applyNumberFormat="1" applyFont="1" applyFill="1" applyBorder="1" applyAlignment="1">
      <alignment vertical="center"/>
    </xf>
    <xf numFmtId="1" fontId="38" fillId="3" borderId="0" xfId="0" applyNumberFormat="1" applyFont="1" applyFill="1" applyAlignment="1">
      <alignment horizontal="center" vertical="center"/>
    </xf>
    <xf numFmtId="0" fontId="38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16" fillId="3" borderId="23" xfId="0" applyFont="1" applyFill="1" applyBorder="1" applyAlignment="1">
      <alignment horizontal="center" vertical="center"/>
    </xf>
    <xf numFmtId="0" fontId="16" fillId="3" borderId="69" xfId="0" applyFont="1" applyFill="1" applyBorder="1" applyAlignment="1">
      <alignment horizontal="center" vertical="center"/>
    </xf>
    <xf numFmtId="1" fontId="0" fillId="3" borderId="19" xfId="3" applyNumberFormat="1" applyFont="1" applyFill="1" applyBorder="1" applyAlignment="1">
      <alignment horizontal="center" vertical="center"/>
    </xf>
    <xf numFmtId="0" fontId="0" fillId="4" borderId="21" xfId="0" applyFont="1" applyFill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2" borderId="19" xfId="16" applyFont="1" applyFill="1" applyBorder="1" applyAlignment="1">
      <alignment horizontal="center"/>
    </xf>
    <xf numFmtId="0" fontId="0" fillId="2" borderId="19" xfId="0" applyFont="1" applyFill="1" applyBorder="1" applyAlignment="1">
      <alignment horizontal="center" vertical="center"/>
    </xf>
    <xf numFmtId="0" fontId="0" fillId="0" borderId="20" xfId="0" applyFont="1" applyBorder="1" applyAlignment="1">
      <alignment horizontal="center"/>
    </xf>
    <xf numFmtId="1" fontId="0" fillId="3" borderId="23" xfId="3" applyNumberFormat="1" applyFont="1" applyFill="1" applyBorder="1" applyAlignment="1">
      <alignment horizontal="center" vertical="center"/>
    </xf>
    <xf numFmtId="1" fontId="0" fillId="3" borderId="69" xfId="3" applyNumberFormat="1" applyFont="1" applyFill="1" applyBorder="1" applyAlignment="1">
      <alignment horizontal="center" vertical="center"/>
    </xf>
    <xf numFmtId="43" fontId="16" fillId="3" borderId="0" xfId="0" applyNumberFormat="1" applyFont="1" applyFill="1" applyAlignment="1">
      <alignment vertical="center"/>
    </xf>
    <xf numFmtId="0" fontId="7" fillId="3" borderId="87" xfId="0" applyFont="1" applyFill="1" applyBorder="1" applyAlignment="1">
      <alignment horizontal="center" vertical="center"/>
    </xf>
    <xf numFmtId="1" fontId="7" fillId="3" borderId="19" xfId="0" applyNumberFormat="1" applyFont="1" applyFill="1" applyBorder="1" applyAlignment="1">
      <alignment horizontal="right" vertical="center"/>
    </xf>
    <xf numFmtId="168" fontId="7" fillId="3" borderId="91" xfId="2" applyNumberFormat="1" applyFont="1" applyFill="1" applyBorder="1" applyAlignment="1">
      <alignment horizontal="center" vertical="center"/>
    </xf>
    <xf numFmtId="10" fontId="7" fillId="0" borderId="91" xfId="2" applyNumberFormat="1" applyFont="1" applyFill="1" applyBorder="1" applyAlignment="1">
      <alignment horizontal="center" vertical="center"/>
    </xf>
    <xf numFmtId="1" fontId="7" fillId="3" borderId="0" xfId="0" applyNumberFormat="1" applyFont="1" applyFill="1" applyAlignment="1">
      <alignment horizontal="right" vertical="center"/>
    </xf>
    <xf numFmtId="10" fontId="16" fillId="3" borderId="0" xfId="2" applyNumberFormat="1" applyFont="1" applyFill="1" applyAlignment="1">
      <alignment horizontal="center" vertical="center"/>
    </xf>
    <xf numFmtId="1" fontId="16" fillId="3" borderId="0" xfId="0" applyNumberFormat="1" applyFont="1" applyFill="1" applyAlignment="1">
      <alignment vertical="center"/>
    </xf>
    <xf numFmtId="10" fontId="16" fillId="3" borderId="0" xfId="0" applyNumberFormat="1" applyFont="1" applyFill="1" applyAlignment="1">
      <alignment horizontal="center" vertical="center"/>
    </xf>
    <xf numFmtId="0" fontId="16" fillId="7" borderId="23" xfId="0" applyFont="1" applyFill="1" applyBorder="1" applyAlignment="1">
      <alignment horizontal="center" vertical="center"/>
    </xf>
    <xf numFmtId="0" fontId="16" fillId="7" borderId="69" xfId="0" applyFont="1" applyFill="1" applyBorder="1" applyAlignment="1">
      <alignment horizontal="center" vertical="center"/>
    </xf>
    <xf numFmtId="1" fontId="0" fillId="3" borderId="18" xfId="3" applyNumberFormat="1" applyFont="1" applyFill="1" applyBorder="1" applyAlignment="1">
      <alignment horizontal="center" vertical="center"/>
    </xf>
    <xf numFmtId="1" fontId="8" fillId="4" borderId="78" xfId="3" applyNumberFormat="1" applyFont="1" applyFill="1" applyBorder="1" applyAlignment="1">
      <alignment horizontal="center" vertical="center"/>
    </xf>
    <xf numFmtId="0" fontId="0" fillId="0" borderId="18" xfId="12" applyFont="1" applyFill="1" applyBorder="1" applyAlignment="1">
      <alignment horizontal="center" vertical="center"/>
    </xf>
    <xf numFmtId="167" fontId="7" fillId="3" borderId="78" xfId="10" applyNumberFormat="1" applyFont="1" applyFill="1" applyBorder="1" applyAlignment="1">
      <alignment horizontal="center" vertical="center"/>
    </xf>
    <xf numFmtId="0" fontId="35" fillId="18" borderId="87" xfId="0" applyFont="1" applyFill="1" applyBorder="1" applyAlignment="1">
      <alignment horizontal="center" vertical="center"/>
    </xf>
    <xf numFmtId="1" fontId="35" fillId="18" borderId="19" xfId="0" applyNumberFormat="1" applyFont="1" applyFill="1" applyBorder="1" applyAlignment="1">
      <alignment horizontal="right" vertical="center"/>
    </xf>
    <xf numFmtId="1" fontId="35" fillId="18" borderId="91" xfId="0" applyNumberFormat="1" applyFont="1" applyFill="1" applyBorder="1" applyAlignment="1">
      <alignment vertical="center"/>
    </xf>
    <xf numFmtId="10" fontId="35" fillId="18" borderId="91" xfId="2" applyNumberFormat="1" applyFont="1" applyFill="1" applyBorder="1" applyAlignment="1">
      <alignment vertical="center"/>
    </xf>
    <xf numFmtId="0" fontId="38" fillId="18" borderId="23" xfId="0" applyFont="1" applyFill="1" applyBorder="1" applyAlignment="1">
      <alignment horizontal="center" vertical="center"/>
    </xf>
    <xf numFmtId="0" fontId="38" fillId="18" borderId="69" xfId="0" applyFont="1" applyFill="1" applyBorder="1" applyAlignment="1">
      <alignment horizontal="center" vertical="center"/>
    </xf>
    <xf numFmtId="1" fontId="0" fillId="22" borderId="23" xfId="0" applyNumberFormat="1" applyFont="1" applyFill="1" applyBorder="1" applyAlignment="1">
      <alignment horizontal="center" vertical="center"/>
    </xf>
    <xf numFmtId="1" fontId="0" fillId="22" borderId="19" xfId="0" applyNumberFormat="1" applyFont="1" applyFill="1" applyBorder="1" applyAlignment="1">
      <alignment horizontal="center" vertical="center"/>
    </xf>
    <xf numFmtId="1" fontId="0" fillId="22" borderId="69" xfId="0" applyNumberFormat="1" applyFont="1" applyFill="1" applyBorder="1" applyAlignment="1">
      <alignment horizontal="center" vertical="center"/>
    </xf>
    <xf numFmtId="1" fontId="8" fillId="22" borderId="21" xfId="0" applyNumberFormat="1" applyFont="1" applyFill="1" applyBorder="1" applyAlignment="1">
      <alignment horizontal="center" vertical="center"/>
    </xf>
    <xf numFmtId="1" fontId="8" fillId="10" borderId="18" xfId="0" applyNumberFormat="1" applyFont="1" applyFill="1" applyBorder="1" applyAlignment="1">
      <alignment horizontal="center" vertical="center"/>
    </xf>
    <xf numFmtId="1" fontId="8" fillId="10" borderId="19" xfId="0" applyNumberFormat="1" applyFont="1" applyFill="1" applyBorder="1" applyAlignment="1">
      <alignment horizontal="center" vertical="center"/>
    </xf>
    <xf numFmtId="1" fontId="8" fillId="10" borderId="20" xfId="0" applyNumberFormat="1" applyFont="1" applyFill="1" applyBorder="1" applyAlignment="1">
      <alignment horizontal="center" vertical="center"/>
    </xf>
    <xf numFmtId="1" fontId="8" fillId="22" borderId="23" xfId="0" applyNumberFormat="1" applyFont="1" applyFill="1" applyBorder="1" applyAlignment="1">
      <alignment horizontal="center" vertical="center"/>
    </xf>
    <xf numFmtId="1" fontId="8" fillId="22" borderId="19" xfId="0" applyNumberFormat="1" applyFont="1" applyFill="1" applyBorder="1" applyAlignment="1">
      <alignment horizontal="center" vertical="center"/>
    </xf>
    <xf numFmtId="1" fontId="8" fillId="22" borderId="69" xfId="0" applyNumberFormat="1" applyFont="1" applyFill="1" applyBorder="1" applyAlignment="1">
      <alignment horizontal="center" vertical="center"/>
    </xf>
    <xf numFmtId="167" fontId="7" fillId="18" borderId="15" xfId="10" applyNumberFormat="1" applyFont="1" applyFill="1" applyBorder="1" applyAlignment="1">
      <alignment horizontal="center" vertical="center"/>
    </xf>
    <xf numFmtId="165" fontId="16" fillId="3" borderId="0" xfId="1" applyNumberFormat="1" applyFont="1" applyFill="1" applyAlignment="1">
      <alignment vertical="center"/>
    </xf>
    <xf numFmtId="1" fontId="35" fillId="3" borderId="19" xfId="2" applyNumberFormat="1" applyFont="1" applyFill="1" applyBorder="1" applyAlignment="1">
      <alignment horizontal="right" vertical="center"/>
    </xf>
    <xf numFmtId="168" fontId="7" fillId="0" borderId="91" xfId="2" applyNumberFormat="1" applyFont="1" applyFill="1" applyBorder="1" applyAlignment="1">
      <alignment horizontal="center" vertical="center"/>
    </xf>
    <xf numFmtId="167" fontId="16" fillId="3" borderId="0" xfId="0" applyNumberFormat="1" applyFont="1" applyFill="1" applyAlignment="1">
      <alignment vertical="center"/>
    </xf>
    <xf numFmtId="0" fontId="0" fillId="0" borderId="19" xfId="17" applyFont="1" applyBorder="1" applyAlignment="1">
      <alignment horizontal="center" vertical="center" wrapText="1"/>
    </xf>
    <xf numFmtId="0" fontId="0" fillId="0" borderId="69" xfId="17" applyFont="1" applyBorder="1" applyAlignment="1">
      <alignment horizontal="center" vertical="center" wrapText="1"/>
    </xf>
    <xf numFmtId="0" fontId="0" fillId="4" borderId="21" xfId="17" applyFont="1" applyFill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/>
    </xf>
    <xf numFmtId="0" fontId="0" fillId="0" borderId="23" xfId="17" applyFont="1" applyBorder="1" applyAlignment="1">
      <alignment horizontal="center" vertical="center" wrapText="1"/>
    </xf>
    <xf numFmtId="1" fontId="0" fillId="0" borderId="73" xfId="0" applyNumberFormat="1" applyFont="1" applyFill="1" applyBorder="1" applyAlignment="1">
      <alignment horizontal="center" vertical="center"/>
    </xf>
    <xf numFmtId="0" fontId="0" fillId="0" borderId="19" xfId="17" applyFont="1" applyFill="1" applyBorder="1" applyAlignment="1">
      <alignment horizontal="center" vertical="center" wrapText="1"/>
    </xf>
    <xf numFmtId="0" fontId="0" fillId="0" borderId="69" xfId="17" applyFont="1" applyFill="1" applyBorder="1" applyAlignment="1">
      <alignment horizontal="center" vertical="center" wrapText="1"/>
    </xf>
    <xf numFmtId="1" fontId="0" fillId="0" borderId="19" xfId="16" applyNumberFormat="1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0" borderId="23" xfId="17" applyFont="1" applyFill="1" applyBorder="1" applyAlignment="1">
      <alignment horizontal="center" vertical="center" wrapText="1"/>
    </xf>
    <xf numFmtId="167" fontId="7" fillId="0" borderId="92" xfId="10" applyNumberFormat="1" applyFont="1" applyFill="1" applyBorder="1" applyAlignment="1">
      <alignment horizontal="center" vertical="center"/>
    </xf>
    <xf numFmtId="165" fontId="16" fillId="3" borderId="0" xfId="0" applyNumberFormat="1" applyFont="1" applyFill="1" applyAlignment="1">
      <alignment vertical="center"/>
    </xf>
    <xf numFmtId="1" fontId="0" fillId="10" borderId="18" xfId="0" applyNumberFormat="1" applyFont="1" applyFill="1" applyBorder="1" applyAlignment="1">
      <alignment horizontal="center" vertical="center"/>
    </xf>
    <xf numFmtId="1" fontId="0" fillId="10" borderId="19" xfId="0" applyNumberFormat="1" applyFont="1" applyFill="1" applyBorder="1" applyAlignment="1">
      <alignment horizontal="center" vertical="center"/>
    </xf>
    <xf numFmtId="1" fontId="0" fillId="10" borderId="19" xfId="16" applyNumberFormat="1" applyFont="1" applyFill="1" applyBorder="1" applyAlignment="1">
      <alignment horizontal="center" vertical="center"/>
    </xf>
    <xf numFmtId="1" fontId="0" fillId="10" borderId="20" xfId="0" applyNumberFormat="1" applyFont="1" applyFill="1" applyBorder="1" applyAlignment="1">
      <alignment horizontal="center" vertical="center"/>
    </xf>
    <xf numFmtId="2" fontId="7" fillId="3" borderId="0" xfId="0" applyNumberFormat="1" applyFont="1" applyFill="1" applyAlignment="1">
      <alignment horizontal="right" vertical="center"/>
    </xf>
    <xf numFmtId="1" fontId="0" fillId="0" borderId="19" xfId="17" applyNumberFormat="1" applyFont="1" applyBorder="1" applyAlignment="1">
      <alignment horizontal="center" vertical="center" wrapText="1"/>
    </xf>
    <xf numFmtId="1" fontId="0" fillId="0" borderId="69" xfId="17" applyNumberFormat="1" applyFont="1" applyBorder="1" applyAlignment="1">
      <alignment horizontal="center" vertical="center" wrapText="1"/>
    </xf>
    <xf numFmtId="1" fontId="0" fillId="4" borderId="21" xfId="17" applyNumberFormat="1" applyFont="1" applyFill="1" applyBorder="1" applyAlignment="1">
      <alignment horizontal="center" vertical="center" wrapText="1"/>
    </xf>
    <xf numFmtId="1" fontId="0" fillId="0" borderId="20" xfId="0" applyNumberFormat="1" applyFont="1" applyBorder="1" applyAlignment="1">
      <alignment horizontal="center" vertical="center"/>
    </xf>
    <xf numFmtId="1" fontId="0" fillId="0" borderId="19" xfId="0" applyNumberFormat="1" applyFont="1" applyBorder="1" applyAlignment="1">
      <alignment horizontal="center" vertical="center"/>
    </xf>
    <xf numFmtId="1" fontId="0" fillId="0" borderId="77" xfId="0" applyNumberFormat="1" applyFont="1" applyBorder="1" applyAlignment="1">
      <alignment horizontal="center" vertical="center"/>
    </xf>
    <xf numFmtId="0" fontId="7" fillId="3" borderId="82" xfId="0" applyFont="1" applyFill="1" applyBorder="1" applyAlignment="1">
      <alignment horizontal="center" vertical="center"/>
    </xf>
    <xf numFmtId="1" fontId="35" fillId="3" borderId="28" xfId="0" applyNumberFormat="1" applyFont="1" applyFill="1" applyBorder="1" applyAlignment="1">
      <alignment horizontal="right" vertical="center"/>
    </xf>
    <xf numFmtId="168" fontId="7" fillId="0" borderId="93" xfId="2" applyNumberFormat="1" applyFont="1" applyFill="1" applyBorder="1" applyAlignment="1">
      <alignment horizontal="center" vertical="center"/>
    </xf>
    <xf numFmtId="1" fontId="35" fillId="0" borderId="28" xfId="0" applyNumberFormat="1" applyFont="1" applyFill="1" applyBorder="1" applyAlignment="1">
      <alignment horizontal="right" vertical="center"/>
    </xf>
    <xf numFmtId="10" fontId="7" fillId="0" borderId="93" xfId="2" applyNumberFormat="1" applyFont="1" applyFill="1" applyBorder="1" applyAlignment="1">
      <alignment horizontal="center" vertical="center"/>
    </xf>
    <xf numFmtId="1" fontId="0" fillId="0" borderId="23" xfId="17" applyNumberFormat="1" applyFont="1" applyFill="1" applyBorder="1" applyAlignment="1">
      <alignment horizontal="center" vertical="center" wrapText="1"/>
    </xf>
    <xf numFmtId="1" fontId="0" fillId="0" borderId="19" xfId="0" applyNumberFormat="1" applyFill="1" applyBorder="1"/>
    <xf numFmtId="1" fontId="0" fillId="0" borderId="19" xfId="0" applyNumberFormat="1" applyFill="1" applyBorder="1" applyAlignment="1">
      <alignment horizontal="center"/>
    </xf>
    <xf numFmtId="1" fontId="0" fillId="0" borderId="69" xfId="0" applyNumberFormat="1" applyFont="1" applyFill="1" applyBorder="1" applyAlignment="1">
      <alignment horizontal="center" vertical="center"/>
    </xf>
    <xf numFmtId="1" fontId="0" fillId="0" borderId="18" xfId="12" applyNumberFormat="1" applyFont="1" applyFill="1" applyBorder="1" applyAlignment="1">
      <alignment horizontal="center" vertical="center"/>
    </xf>
    <xf numFmtId="1" fontId="0" fillId="0" borderId="19" xfId="8" applyNumberFormat="1" applyFont="1" applyFill="1" applyBorder="1" applyAlignment="1">
      <alignment horizontal="center" vertical="center"/>
    </xf>
    <xf numFmtId="1" fontId="0" fillId="0" borderId="19" xfId="16" applyNumberFormat="1" applyFont="1" applyFill="1" applyBorder="1" applyAlignment="1">
      <alignment horizontal="center" vertical="center"/>
    </xf>
    <xf numFmtId="1" fontId="0" fillId="0" borderId="20" xfId="0" applyNumberFormat="1" applyFont="1" applyFill="1" applyBorder="1" applyAlignment="1">
      <alignment horizontal="center" vertical="center"/>
    </xf>
    <xf numFmtId="1" fontId="0" fillId="0" borderId="23" xfId="17" applyNumberFormat="1" applyFont="1" applyFill="1" applyBorder="1" applyAlignment="1">
      <alignment horizontal="center" vertical="center"/>
    </xf>
    <xf numFmtId="1" fontId="0" fillId="0" borderId="19" xfId="17" applyNumberFormat="1" applyFont="1" applyFill="1" applyBorder="1" applyAlignment="1">
      <alignment horizontal="center" vertical="center"/>
    </xf>
    <xf numFmtId="1" fontId="0" fillId="0" borderId="69" xfId="17" applyNumberFormat="1" applyFont="1" applyFill="1" applyBorder="1" applyAlignment="1">
      <alignment horizontal="center" vertical="center"/>
    </xf>
    <xf numFmtId="0" fontId="16" fillId="3" borderId="0" xfId="0" applyNumberFormat="1" applyFont="1" applyFill="1" applyAlignment="1">
      <alignment horizontal="center" vertical="center"/>
    </xf>
    <xf numFmtId="0" fontId="35" fillId="3" borderId="0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32" fillId="3" borderId="23" xfId="0" applyFont="1" applyFill="1" applyBorder="1" applyAlignment="1">
      <alignment horizontal="center" vertical="center"/>
    </xf>
    <xf numFmtId="0" fontId="32" fillId="3" borderId="69" xfId="0" applyFont="1" applyFill="1" applyBorder="1" applyAlignment="1">
      <alignment horizontal="center" vertical="center"/>
    </xf>
    <xf numFmtId="1" fontId="0" fillId="0" borderId="23" xfId="17" applyNumberFormat="1" applyFont="1" applyBorder="1" applyAlignment="1">
      <alignment horizontal="center" vertical="center" wrapText="1"/>
    </xf>
    <xf numFmtId="0" fontId="38" fillId="3" borderId="0" xfId="0" applyFont="1" applyFill="1" applyBorder="1" applyAlignment="1">
      <alignment horizontal="center" vertical="center"/>
    </xf>
    <xf numFmtId="1" fontId="38" fillId="3" borderId="0" xfId="0" applyNumberFormat="1" applyFont="1" applyFill="1" applyBorder="1" applyAlignment="1">
      <alignment horizontal="right" vertical="center"/>
    </xf>
    <xf numFmtId="0" fontId="38" fillId="3" borderId="0" xfId="0" applyFont="1" applyFill="1" applyBorder="1" applyAlignment="1">
      <alignment horizontal="right" vertical="center"/>
    </xf>
    <xf numFmtId="1" fontId="0" fillId="0" borderId="73" xfId="0" applyNumberFormat="1" applyFill="1" applyBorder="1" applyAlignment="1">
      <alignment horizontal="center" vertical="center"/>
    </xf>
    <xf numFmtId="1" fontId="0" fillId="0" borderId="23" xfId="0" applyNumberFormat="1" applyFont="1" applyFill="1" applyBorder="1" applyAlignment="1">
      <alignment horizontal="center" vertical="center"/>
    </xf>
    <xf numFmtId="167" fontId="16" fillId="3" borderId="0" xfId="2" applyNumberFormat="1" applyFont="1" applyFill="1" applyAlignment="1">
      <alignment horizontal="center" vertical="center"/>
    </xf>
    <xf numFmtId="10" fontId="16" fillId="3" borderId="0" xfId="2" applyNumberFormat="1" applyFont="1" applyFill="1" applyBorder="1" applyAlignment="1">
      <alignment horizontal="right" vertical="center"/>
    </xf>
    <xf numFmtId="9" fontId="7" fillId="3" borderId="0" xfId="2" applyFont="1" applyFill="1" applyBorder="1" applyAlignment="1">
      <alignment horizontal="right" vertical="center"/>
    </xf>
    <xf numFmtId="1" fontId="16" fillId="3" borderId="0" xfId="0" applyNumberFormat="1" applyFont="1" applyFill="1" applyBorder="1" applyAlignment="1">
      <alignment horizontal="right" vertical="center"/>
    </xf>
    <xf numFmtId="0" fontId="7" fillId="3" borderId="0" xfId="2" applyNumberFormat="1" applyFont="1" applyFill="1" applyBorder="1" applyAlignment="1">
      <alignment horizontal="right" vertical="center"/>
    </xf>
    <xf numFmtId="0" fontId="35" fillId="3" borderId="0" xfId="0" applyFont="1" applyFill="1" applyBorder="1" applyAlignment="1">
      <alignment horizontal="right" vertical="center"/>
    </xf>
    <xf numFmtId="0" fontId="0" fillId="0" borderId="69" xfId="0" applyFont="1" applyFill="1" applyBorder="1" applyAlignment="1">
      <alignment horizontal="center" vertical="center"/>
    </xf>
    <xf numFmtId="0" fontId="0" fillId="0" borderId="19" xfId="16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center" vertical="center"/>
    </xf>
    <xf numFmtId="168" fontId="38" fillId="3" borderId="0" xfId="2" applyNumberFormat="1" applyFont="1" applyFill="1" applyBorder="1" applyAlignment="1">
      <alignment horizontal="right" vertical="center"/>
    </xf>
    <xf numFmtId="0" fontId="16" fillId="18" borderId="23" xfId="0" applyFont="1" applyFill="1" applyBorder="1" applyAlignment="1">
      <alignment horizontal="center" vertical="center"/>
    </xf>
    <xf numFmtId="0" fontId="16" fillId="18" borderId="69" xfId="0" applyFont="1" applyFill="1" applyBorder="1" applyAlignment="1">
      <alignment horizontal="center" vertical="center"/>
    </xf>
    <xf numFmtId="1" fontId="15" fillId="10" borderId="23" xfId="17" applyNumberFormat="1" applyFont="1" applyFill="1" applyBorder="1" applyAlignment="1">
      <alignment horizontal="center" vertical="center"/>
    </xf>
    <xf numFmtId="2" fontId="0" fillId="10" borderId="19" xfId="2" applyNumberFormat="1" applyFont="1" applyFill="1" applyBorder="1" applyAlignment="1">
      <alignment horizontal="center" vertical="center"/>
    </xf>
    <xf numFmtId="1" fontId="0" fillId="23" borderId="19" xfId="0" applyNumberFormat="1" applyFont="1" applyFill="1" applyBorder="1" applyAlignment="1">
      <alignment horizontal="center" vertical="center"/>
    </xf>
    <xf numFmtId="1" fontId="0" fillId="23" borderId="20" xfId="0" applyNumberFormat="1" applyFont="1" applyFill="1" applyBorder="1" applyAlignment="1">
      <alignment horizontal="center" vertical="center"/>
    </xf>
    <xf numFmtId="1" fontId="0" fillId="10" borderId="13" xfId="0" applyNumberFormat="1" applyFont="1" applyFill="1" applyBorder="1" applyAlignment="1">
      <alignment horizontal="center" vertical="center"/>
    </xf>
    <xf numFmtId="0" fontId="0" fillId="10" borderId="18" xfId="0" applyFont="1" applyFill="1" applyBorder="1" applyAlignment="1">
      <alignment horizontal="center" vertical="center"/>
    </xf>
    <xf numFmtId="0" fontId="0" fillId="10" borderId="19" xfId="0" applyFont="1" applyFill="1" applyBorder="1" applyAlignment="1">
      <alignment horizontal="center" vertical="center"/>
    </xf>
    <xf numFmtId="0" fontId="0" fillId="10" borderId="19" xfId="16" applyFont="1" applyFill="1" applyBorder="1" applyAlignment="1">
      <alignment horizontal="center"/>
    </xf>
    <xf numFmtId="0" fontId="8" fillId="10" borderId="19" xfId="0" applyFont="1" applyFill="1" applyBorder="1" applyAlignment="1">
      <alignment horizontal="center" vertical="center"/>
    </xf>
    <xf numFmtId="0" fontId="8" fillId="10" borderId="20" xfId="0" applyFont="1" applyFill="1" applyBorder="1" applyAlignment="1">
      <alignment horizontal="center"/>
    </xf>
    <xf numFmtId="0" fontId="0" fillId="10" borderId="21" xfId="0" applyFont="1" applyFill="1" applyBorder="1" applyAlignment="1">
      <alignment horizontal="center" vertical="center"/>
    </xf>
    <xf numFmtId="1" fontId="0" fillId="24" borderId="23" xfId="0" applyNumberFormat="1" applyFont="1" applyFill="1" applyBorder="1" applyAlignment="1">
      <alignment horizontal="center" vertical="center"/>
    </xf>
    <xf numFmtId="1" fontId="0" fillId="24" borderId="19" xfId="0" applyNumberFormat="1" applyFont="1" applyFill="1" applyBorder="1" applyAlignment="1">
      <alignment horizontal="center" vertical="center"/>
    </xf>
    <xf numFmtId="0" fontId="0" fillId="10" borderId="69" xfId="0" applyFont="1" applyFill="1" applyBorder="1" applyAlignment="1">
      <alignment horizontal="center" vertical="center"/>
    </xf>
    <xf numFmtId="167" fontId="16" fillId="18" borderId="13" xfId="10" applyNumberFormat="1" applyFont="1" applyFill="1" applyBorder="1" applyAlignment="1">
      <alignment horizontal="center" vertical="center"/>
    </xf>
    <xf numFmtId="1" fontId="0" fillId="3" borderId="19" xfId="0" applyNumberFormat="1" applyFont="1" applyFill="1" applyBorder="1" applyAlignment="1">
      <alignment horizontal="center" vertical="center" wrapText="1"/>
    </xf>
    <xf numFmtId="0" fontId="0" fillId="3" borderId="69" xfId="0" applyFon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/>
    </xf>
    <xf numFmtId="0" fontId="0" fillId="0" borderId="19" xfId="16" applyFont="1" applyBorder="1" applyAlignment="1">
      <alignment horizontal="center"/>
    </xf>
    <xf numFmtId="0" fontId="0" fillId="2" borderId="23" xfId="0" applyFont="1" applyFill="1" applyBorder="1" applyAlignment="1">
      <alignment horizontal="center" vertical="center"/>
    </xf>
    <xf numFmtId="0" fontId="0" fillId="0" borderId="69" xfId="0" applyFont="1" applyBorder="1" applyAlignment="1">
      <alignment horizontal="center" vertical="center"/>
    </xf>
    <xf numFmtId="0" fontId="0" fillId="3" borderId="19" xfId="3" applyFont="1" applyFill="1" applyBorder="1" applyAlignment="1">
      <alignment horizontal="center" vertical="center"/>
    </xf>
    <xf numFmtId="0" fontId="0" fillId="3" borderId="69" xfId="3" applyFont="1" applyFill="1" applyBorder="1" applyAlignment="1">
      <alignment horizontal="center" vertical="center"/>
    </xf>
    <xf numFmtId="0" fontId="0" fillId="4" borderId="21" xfId="3" applyFont="1" applyFill="1" applyBorder="1" applyAlignment="1">
      <alignment horizontal="center" vertical="center"/>
    </xf>
    <xf numFmtId="0" fontId="0" fillId="3" borderId="0" xfId="3" applyFont="1" applyFill="1" applyBorder="1" applyAlignment="1">
      <alignment horizontal="center" vertical="center"/>
    </xf>
    <xf numFmtId="0" fontId="0" fillId="3" borderId="23" xfId="3" applyFont="1" applyFill="1" applyBorder="1" applyAlignment="1">
      <alignment horizontal="center" vertical="center"/>
    </xf>
    <xf numFmtId="167" fontId="16" fillId="0" borderId="21" xfId="10" applyNumberFormat="1" applyFont="1" applyFill="1" applyBorder="1" applyAlignment="1">
      <alignment horizontal="center" vertical="center"/>
    </xf>
    <xf numFmtId="168" fontId="16" fillId="3" borderId="0" xfId="2" applyNumberFormat="1" applyFont="1" applyFill="1" applyAlignment="1">
      <alignment horizontal="center" vertical="center"/>
    </xf>
    <xf numFmtId="1" fontId="0" fillId="10" borderId="23" xfId="0" applyNumberFormat="1" applyFont="1" applyFill="1" applyBorder="1" applyAlignment="1">
      <alignment horizontal="center" vertical="center"/>
    </xf>
    <xf numFmtId="0" fontId="0" fillId="23" borderId="19" xfId="0" applyFont="1" applyFill="1" applyBorder="1" applyAlignment="1">
      <alignment horizontal="center" vertical="center"/>
    </xf>
    <xf numFmtId="1" fontId="0" fillId="10" borderId="69" xfId="0" applyNumberFormat="1" applyFont="1" applyFill="1" applyBorder="1" applyAlignment="1">
      <alignment horizontal="center" vertical="center"/>
    </xf>
    <xf numFmtId="1" fontId="0" fillId="10" borderId="21" xfId="0" applyNumberFormat="1" applyFont="1" applyFill="1" applyBorder="1" applyAlignment="1">
      <alignment horizontal="center" vertical="center"/>
    </xf>
    <xf numFmtId="1" fontId="0" fillId="3" borderId="0" xfId="0" applyNumberFormat="1" applyFont="1" applyFill="1" applyBorder="1" applyAlignment="1">
      <alignment horizontal="center" vertical="center"/>
    </xf>
    <xf numFmtId="0" fontId="8" fillId="10" borderId="18" xfId="0" applyFont="1" applyFill="1" applyBorder="1" applyAlignment="1">
      <alignment horizontal="center" vertical="center"/>
    </xf>
    <xf numFmtId="1" fontId="8" fillId="10" borderId="19" xfId="16" applyNumberFormat="1" applyFont="1" applyFill="1" applyBorder="1" applyAlignment="1">
      <alignment horizontal="center"/>
    </xf>
    <xf numFmtId="1" fontId="8" fillId="10" borderId="20" xfId="0" applyNumberFormat="1" applyFont="1" applyFill="1" applyBorder="1" applyAlignment="1">
      <alignment horizontal="center"/>
    </xf>
    <xf numFmtId="167" fontId="16" fillId="18" borderId="21" xfId="10" applyNumberFormat="1" applyFont="1" applyFill="1" applyBorder="1" applyAlignment="1">
      <alignment horizontal="center" vertical="center"/>
    </xf>
    <xf numFmtId="167" fontId="16" fillId="3" borderId="0" xfId="2" applyNumberFormat="1" applyFont="1" applyFill="1" applyAlignment="1">
      <alignment vertical="center"/>
    </xf>
    <xf numFmtId="1" fontId="16" fillId="3" borderId="0" xfId="0" applyNumberFormat="1" applyFont="1" applyFill="1" applyBorder="1" applyAlignment="1">
      <alignment horizontal="center" vertical="center"/>
    </xf>
    <xf numFmtId="1" fontId="7" fillId="3" borderId="0" xfId="0" applyNumberFormat="1" applyFont="1" applyFill="1" applyBorder="1" applyAlignment="1">
      <alignment horizontal="center" vertical="center"/>
    </xf>
    <xf numFmtId="10" fontId="7" fillId="3" borderId="0" xfId="0" applyNumberFormat="1" applyFont="1" applyFill="1" applyBorder="1" applyAlignment="1">
      <alignment horizontal="center" vertical="center"/>
    </xf>
    <xf numFmtId="0" fontId="0" fillId="3" borderId="23" xfId="0" applyFont="1" applyFill="1" applyBorder="1" applyAlignment="1">
      <alignment horizontal="center" vertical="center"/>
    </xf>
    <xf numFmtId="0" fontId="0" fillId="3" borderId="19" xfId="0" applyFont="1" applyFill="1" applyBorder="1" applyAlignment="1">
      <alignment horizontal="center" vertical="center"/>
    </xf>
    <xf numFmtId="168" fontId="35" fillId="3" borderId="0" xfId="2" applyNumberFormat="1" applyFont="1" applyFill="1" applyBorder="1" applyAlignment="1">
      <alignment horizontal="right" vertical="center"/>
    </xf>
    <xf numFmtId="0" fontId="8" fillId="10" borderId="19" xfId="16" applyFont="1" applyFill="1" applyBorder="1" applyAlignment="1">
      <alignment horizontal="center"/>
    </xf>
    <xf numFmtId="167" fontId="16" fillId="3" borderId="0" xfId="0" applyNumberFormat="1" applyFont="1" applyFill="1" applyAlignment="1">
      <alignment horizontal="center" vertical="center"/>
    </xf>
    <xf numFmtId="2" fontId="16" fillId="3" borderId="0" xfId="0" applyNumberFormat="1" applyFont="1" applyFill="1" applyBorder="1" applyAlignment="1">
      <alignment horizontal="right" vertical="center"/>
    </xf>
    <xf numFmtId="0" fontId="16" fillId="7" borderId="18" xfId="0" applyFont="1" applyFill="1" applyBorder="1" applyAlignment="1">
      <alignment horizontal="center" vertical="center"/>
    </xf>
    <xf numFmtId="0" fontId="16" fillId="7" borderId="19" xfId="0" applyFont="1" applyFill="1" applyBorder="1" applyAlignment="1">
      <alignment horizontal="center" vertical="center"/>
    </xf>
    <xf numFmtId="0" fontId="16" fillId="7" borderId="20" xfId="0" applyFont="1" applyFill="1" applyBorder="1" applyAlignment="1">
      <alignment horizontal="center" vertical="center"/>
    </xf>
    <xf numFmtId="1" fontId="0" fillId="3" borderId="23" xfId="6" applyNumberFormat="1" applyFont="1" applyFill="1" applyBorder="1" applyAlignment="1">
      <alignment horizontal="center" vertical="center"/>
    </xf>
    <xf numFmtId="1" fontId="0" fillId="3" borderId="19" xfId="0" applyNumberFormat="1" applyFont="1" applyFill="1" applyBorder="1" applyAlignment="1">
      <alignment horizontal="center" vertical="center"/>
    </xf>
    <xf numFmtId="1" fontId="0" fillId="3" borderId="69" xfId="0" applyNumberFormat="1" applyFont="1" applyFill="1" applyBorder="1" applyAlignment="1">
      <alignment horizontal="center" vertical="center"/>
    </xf>
    <xf numFmtId="1" fontId="0" fillId="4" borderId="21" xfId="0" applyNumberFormat="1" applyFont="1" applyFill="1" applyBorder="1" applyAlignment="1">
      <alignment horizontal="center" vertical="center"/>
    </xf>
    <xf numFmtId="1" fontId="0" fillId="24" borderId="18" xfId="0" applyNumberFormat="1" applyFont="1" applyFill="1" applyBorder="1" applyAlignment="1">
      <alignment horizontal="center" vertical="center"/>
    </xf>
    <xf numFmtId="1" fontId="6" fillId="3" borderId="23" xfId="3" applyNumberFormat="1" applyFill="1" applyBorder="1" applyAlignment="1">
      <alignment horizontal="center" vertical="center"/>
    </xf>
    <xf numFmtId="1" fontId="0" fillId="3" borderId="19" xfId="0" applyNumberFormat="1" applyFill="1" applyBorder="1" applyAlignment="1">
      <alignment horizontal="center" vertical="center" wrapText="1"/>
    </xf>
    <xf numFmtId="1" fontId="39" fillId="0" borderId="19" xfId="0" applyNumberFormat="1" applyFont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30" fillId="0" borderId="19" xfId="16" applyFont="1" applyBorder="1" applyAlignment="1">
      <alignment horizontal="center"/>
    </xf>
    <xf numFmtId="0" fontId="30" fillId="2" borderId="19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29" fillId="2" borderId="18" xfId="0" applyFont="1" applyFill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4" fillId="3" borderId="22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14" fillId="4" borderId="21" xfId="0" applyFont="1" applyFill="1" applyBorder="1" applyAlignment="1">
      <alignment horizontal="center" vertical="center"/>
    </xf>
    <xf numFmtId="167" fontId="38" fillId="3" borderId="21" xfId="10" applyNumberFormat="1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16" fillId="7" borderId="94" xfId="0" applyFont="1" applyFill="1" applyBorder="1" applyAlignment="1">
      <alignment horizontal="center" vertical="center"/>
    </xf>
    <xf numFmtId="0" fontId="16" fillId="7" borderId="95" xfId="0" applyFont="1" applyFill="1" applyBorder="1" applyAlignment="1">
      <alignment horizontal="center" vertical="center"/>
    </xf>
    <xf numFmtId="1" fontId="6" fillId="3" borderId="94" xfId="3" applyNumberFormat="1" applyFill="1" applyBorder="1" applyAlignment="1">
      <alignment horizontal="center" vertical="center"/>
    </xf>
    <xf numFmtId="0" fontId="0" fillId="3" borderId="96" xfId="0" applyFill="1" applyBorder="1" applyAlignment="1">
      <alignment horizontal="center" vertical="center"/>
    </xf>
    <xf numFmtId="0" fontId="0" fillId="3" borderId="97" xfId="0" applyFill="1" applyBorder="1" applyAlignment="1">
      <alignment horizontal="center" vertical="center"/>
    </xf>
    <xf numFmtId="0" fontId="0" fillId="4" borderId="92" xfId="0" applyFill="1" applyBorder="1" applyAlignment="1">
      <alignment horizontal="center" vertical="center"/>
    </xf>
    <xf numFmtId="0" fontId="6" fillId="2" borderId="98" xfId="0" applyFont="1" applyFill="1" applyBorder="1" applyAlignment="1">
      <alignment horizontal="center" vertical="center"/>
    </xf>
    <xf numFmtId="0" fontId="6" fillId="2" borderId="96" xfId="0" applyFont="1" applyFill="1" applyBorder="1" applyAlignment="1">
      <alignment horizontal="center" vertical="center"/>
    </xf>
    <xf numFmtId="0" fontId="30" fillId="0" borderId="96" xfId="16" applyFont="1" applyBorder="1" applyAlignment="1">
      <alignment horizontal="center"/>
    </xf>
    <xf numFmtId="0" fontId="0" fillId="0" borderId="97" xfId="0" applyBorder="1" applyAlignment="1">
      <alignment horizontal="center"/>
    </xf>
    <xf numFmtId="0" fontId="29" fillId="2" borderId="98" xfId="0" applyFont="1" applyFill="1" applyBorder="1" applyAlignment="1">
      <alignment horizontal="center" vertical="center"/>
    </xf>
    <xf numFmtId="0" fontId="29" fillId="0" borderId="96" xfId="0" applyFont="1" applyBorder="1" applyAlignment="1">
      <alignment horizontal="center" vertical="center"/>
    </xf>
    <xf numFmtId="0" fontId="6" fillId="0" borderId="96" xfId="0" applyFont="1" applyBorder="1" applyAlignment="1">
      <alignment horizontal="center" vertical="center"/>
    </xf>
    <xf numFmtId="0" fontId="14" fillId="3" borderId="99" xfId="0" applyFont="1" applyFill="1" applyBorder="1" applyAlignment="1">
      <alignment horizontal="center" vertical="center"/>
    </xf>
    <xf numFmtId="0" fontId="14" fillId="3" borderId="96" xfId="0" applyFont="1" applyFill="1" applyBorder="1" applyAlignment="1">
      <alignment horizontal="center" vertical="center"/>
    </xf>
    <xf numFmtId="0" fontId="14" fillId="3" borderId="97" xfId="0" applyFont="1" applyFill="1" applyBorder="1" applyAlignment="1">
      <alignment horizontal="center" vertical="center"/>
    </xf>
    <xf numFmtId="0" fontId="14" fillId="4" borderId="92" xfId="0" applyFont="1" applyFill="1" applyBorder="1" applyAlignment="1">
      <alignment horizontal="center" vertical="center"/>
    </xf>
    <xf numFmtId="167" fontId="38" fillId="0" borderId="92" xfId="10" applyNumberFormat="1" applyFont="1" applyFill="1" applyBorder="1" applyAlignment="1">
      <alignment horizontal="center" vertical="center"/>
    </xf>
    <xf numFmtId="0" fontId="13" fillId="3" borderId="100" xfId="0" applyFont="1" applyFill="1" applyBorder="1" applyAlignment="1">
      <alignment horizontal="left" vertical="center"/>
    </xf>
    <xf numFmtId="0" fontId="13" fillId="3" borderId="101" xfId="0" applyFont="1" applyFill="1" applyBorder="1" applyAlignment="1">
      <alignment horizontal="left" vertical="center"/>
    </xf>
    <xf numFmtId="1" fontId="40" fillId="3" borderId="100" xfId="0" applyNumberFormat="1" applyFont="1" applyFill="1" applyBorder="1" applyAlignment="1">
      <alignment horizontal="center" vertical="center"/>
    </xf>
    <xf numFmtId="1" fontId="40" fillId="3" borderId="41" xfId="0" applyNumberFormat="1" applyFont="1" applyFill="1" applyBorder="1" applyAlignment="1">
      <alignment horizontal="center" vertical="center"/>
    </xf>
    <xf numFmtId="2" fontId="7" fillId="25" borderId="55" xfId="2" applyNumberFormat="1" applyFont="1" applyFill="1" applyBorder="1" applyAlignment="1">
      <alignment horizontal="center" vertical="center"/>
    </xf>
    <xf numFmtId="1" fontId="40" fillId="3" borderId="101" xfId="0" applyNumberFormat="1" applyFont="1" applyFill="1" applyBorder="1" applyAlignment="1">
      <alignment horizontal="center" vertical="center"/>
    </xf>
    <xf numFmtId="1" fontId="40" fillId="4" borderId="102" xfId="0" applyNumberFormat="1" applyFont="1" applyFill="1" applyBorder="1" applyAlignment="1">
      <alignment horizontal="center" vertical="center"/>
    </xf>
    <xf numFmtId="1" fontId="7" fillId="3" borderId="103" xfId="0" applyNumberFormat="1" applyFont="1" applyFill="1" applyBorder="1" applyAlignment="1">
      <alignment horizontal="center" vertical="center"/>
    </xf>
    <xf numFmtId="1" fontId="7" fillId="3" borderId="44" xfId="0" applyNumberFormat="1" applyFont="1" applyFill="1" applyBorder="1" applyAlignment="1">
      <alignment horizontal="center" vertical="center"/>
    </xf>
    <xf numFmtId="1" fontId="7" fillId="3" borderId="41" xfId="0" applyNumberFormat="1" applyFont="1" applyFill="1" applyBorder="1" applyAlignment="1">
      <alignment horizontal="center" vertical="center"/>
    </xf>
    <xf numFmtId="1" fontId="7" fillId="3" borderId="101" xfId="0" applyNumberFormat="1" applyFont="1" applyFill="1" applyBorder="1" applyAlignment="1">
      <alignment horizontal="center" vertical="center"/>
    </xf>
    <xf numFmtId="1" fontId="7" fillId="4" borderId="104" xfId="0" applyNumberFormat="1" applyFont="1" applyFill="1" applyBorder="1" applyAlignment="1">
      <alignment horizontal="center" vertical="center"/>
    </xf>
    <xf numFmtId="1" fontId="7" fillId="3" borderId="100" xfId="0" applyNumberFormat="1" applyFont="1" applyFill="1" applyBorder="1" applyAlignment="1">
      <alignment horizontal="center" vertical="center"/>
    </xf>
    <xf numFmtId="1" fontId="7" fillId="4" borderId="102" xfId="0" applyNumberFormat="1" applyFont="1" applyFill="1" applyBorder="1" applyAlignment="1">
      <alignment horizontal="center" vertical="center"/>
    </xf>
    <xf numFmtId="0" fontId="13" fillId="3" borderId="105" xfId="0" applyFont="1" applyFill="1" applyBorder="1" applyAlignment="1">
      <alignment horizontal="left" vertical="center"/>
    </xf>
    <xf numFmtId="0" fontId="13" fillId="3" borderId="106" xfId="0" applyFont="1" applyFill="1" applyBorder="1" applyAlignment="1">
      <alignment horizontal="left" vertical="center"/>
    </xf>
    <xf numFmtId="1" fontId="7" fillId="3" borderId="82" xfId="0" applyNumberFormat="1" applyFont="1" applyFill="1" applyBorder="1" applyAlignment="1">
      <alignment horizontal="center" vertical="center"/>
    </xf>
    <xf numFmtId="1" fontId="7" fillId="3" borderId="28" xfId="0" applyNumberFormat="1" applyFont="1" applyFill="1" applyBorder="1" applyAlignment="1">
      <alignment horizontal="center" vertical="center"/>
    </xf>
    <xf numFmtId="2" fontId="7" fillId="25" borderId="53" xfId="2" applyNumberFormat="1" applyFont="1" applyFill="1" applyBorder="1" applyAlignment="1">
      <alignment horizontal="center" vertical="center"/>
    </xf>
    <xf numFmtId="1" fontId="7" fillId="3" borderId="93" xfId="0" applyNumberFormat="1" applyFont="1" applyFill="1" applyBorder="1" applyAlignment="1">
      <alignment horizontal="center" vertical="center"/>
    </xf>
    <xf numFmtId="1" fontId="7" fillId="4" borderId="93" xfId="0" applyNumberFormat="1" applyFont="1" applyFill="1" applyBorder="1" applyAlignment="1">
      <alignment horizontal="center" vertical="center"/>
    </xf>
    <xf numFmtId="1" fontId="7" fillId="3" borderId="88" xfId="0" applyNumberFormat="1" applyFont="1" applyFill="1" applyBorder="1" applyAlignment="1">
      <alignment horizontal="center" vertical="center"/>
    </xf>
    <xf numFmtId="1" fontId="7" fillId="3" borderId="74" xfId="0" applyNumberFormat="1" applyFont="1" applyFill="1" applyBorder="1" applyAlignment="1">
      <alignment horizontal="center" vertical="center"/>
    </xf>
    <xf numFmtId="1" fontId="7" fillId="3" borderId="71" xfId="0" applyNumberFormat="1" applyFont="1" applyFill="1" applyBorder="1" applyAlignment="1">
      <alignment horizontal="center" vertical="center"/>
    </xf>
    <xf numFmtId="1" fontId="7" fillId="3" borderId="106" xfId="0" applyNumberFormat="1" applyFont="1" applyFill="1" applyBorder="1" applyAlignment="1">
      <alignment horizontal="center" vertical="center"/>
    </xf>
    <xf numFmtId="1" fontId="7" fillId="4" borderId="107" xfId="0" applyNumberFormat="1" applyFont="1" applyFill="1" applyBorder="1" applyAlignment="1">
      <alignment horizontal="center" vertical="center"/>
    </xf>
    <xf numFmtId="1" fontId="7" fillId="4" borderId="108" xfId="0" applyNumberFormat="1" applyFont="1" applyFill="1" applyBorder="1" applyAlignment="1">
      <alignment horizontal="center" vertical="center"/>
    </xf>
    <xf numFmtId="1" fontId="7" fillId="4" borderId="101" xfId="0" applyNumberFormat="1" applyFont="1" applyFill="1" applyBorder="1" applyAlignment="1">
      <alignment horizontal="center" vertical="center"/>
    </xf>
    <xf numFmtId="1" fontId="7" fillId="0" borderId="41" xfId="2" applyNumberFormat="1" applyFont="1" applyFill="1" applyBorder="1" applyAlignment="1">
      <alignment horizontal="center" vertical="center"/>
    </xf>
    <xf numFmtId="1" fontId="7" fillId="3" borderId="42" xfId="0" applyNumberFormat="1" applyFont="1" applyFill="1" applyBorder="1" applyAlignment="1">
      <alignment horizontal="center" vertical="center"/>
    </xf>
    <xf numFmtId="0" fontId="13" fillId="3" borderId="82" xfId="0" applyFont="1" applyFill="1" applyBorder="1" applyAlignment="1">
      <alignment horizontal="left" vertical="center"/>
    </xf>
    <xf numFmtId="0" fontId="13" fillId="3" borderId="93" xfId="0" applyFont="1" applyFill="1" applyBorder="1" applyAlignment="1">
      <alignment horizontal="left" vertical="center"/>
    </xf>
    <xf numFmtId="1" fontId="7" fillId="0" borderId="28" xfId="2" applyNumberFormat="1" applyFont="1" applyFill="1" applyBorder="1" applyAlignment="1">
      <alignment horizontal="center" vertical="center"/>
    </xf>
    <xf numFmtId="1" fontId="7" fillId="3" borderId="29" xfId="0" applyNumberFormat="1" applyFont="1" applyFill="1" applyBorder="1" applyAlignment="1">
      <alignment horizontal="center" vertical="center"/>
    </xf>
    <xf numFmtId="9" fontId="7" fillId="3" borderId="0" xfId="2" applyFont="1" applyFill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7" fillId="3" borderId="102" xfId="0" applyFont="1" applyFill="1" applyBorder="1" applyAlignment="1">
      <alignment horizontal="center" vertical="center"/>
    </xf>
    <xf numFmtId="0" fontId="35" fillId="3" borderId="39" xfId="0" applyFont="1" applyFill="1" applyBorder="1" applyAlignment="1">
      <alignment horizontal="center" vertical="center"/>
    </xf>
    <xf numFmtId="0" fontId="16" fillId="3" borderId="109" xfId="0" applyFont="1" applyFill="1" applyBorder="1" applyAlignment="1">
      <alignment horizontal="center" vertical="center"/>
    </xf>
    <xf numFmtId="168" fontId="7" fillId="3" borderId="100" xfId="2" applyNumberFormat="1" applyFont="1" applyFill="1" applyBorder="1" applyAlignment="1">
      <alignment horizontal="center" vertical="center"/>
    </xf>
    <xf numFmtId="9" fontId="7" fillId="3" borderId="41" xfId="2" applyNumberFormat="1" applyFont="1" applyFill="1" applyBorder="1" applyAlignment="1">
      <alignment horizontal="center" vertical="center"/>
    </xf>
    <xf numFmtId="168" fontId="7" fillId="3" borderId="41" xfId="2" applyNumberFormat="1" applyFont="1" applyFill="1" applyBorder="1" applyAlignment="1">
      <alignment horizontal="center" vertical="center"/>
    </xf>
    <xf numFmtId="168" fontId="7" fillId="3" borderId="101" xfId="2" applyNumberFormat="1" applyFont="1" applyFill="1" applyBorder="1" applyAlignment="1">
      <alignment horizontal="center" vertical="center"/>
    </xf>
    <xf numFmtId="10" fontId="7" fillId="3" borderId="101" xfId="2" applyNumberFormat="1" applyFont="1" applyFill="1" applyBorder="1" applyAlignment="1">
      <alignment horizontal="center" vertical="center"/>
    </xf>
    <xf numFmtId="168" fontId="7" fillId="0" borderId="102" xfId="2" applyNumberFormat="1" applyFont="1" applyFill="1" applyBorder="1" applyAlignment="1">
      <alignment horizontal="center" vertical="center"/>
    </xf>
    <xf numFmtId="168" fontId="7" fillId="3" borderId="0" xfId="2" applyNumberFormat="1" applyFont="1" applyFill="1" applyAlignment="1">
      <alignment horizontal="center" vertical="center"/>
    </xf>
    <xf numFmtId="168" fontId="7" fillId="3" borderId="102" xfId="2" applyNumberFormat="1" applyFont="1" applyFill="1" applyBorder="1" applyAlignment="1">
      <alignment horizontal="center" vertical="center"/>
    </xf>
    <xf numFmtId="10" fontId="7" fillId="0" borderId="102" xfId="2" applyNumberFormat="1" applyFont="1" applyFill="1" applyBorder="1" applyAlignment="1">
      <alignment horizontal="center" vertical="center"/>
    </xf>
    <xf numFmtId="0" fontId="7" fillId="3" borderId="110" xfId="0" applyFont="1" applyFill="1" applyBorder="1" applyAlignment="1">
      <alignment horizontal="center" vertical="center"/>
    </xf>
    <xf numFmtId="168" fontId="7" fillId="3" borderId="87" xfId="2" applyNumberFormat="1" applyFont="1" applyFill="1" applyBorder="1" applyAlignment="1">
      <alignment horizontal="center" vertical="center"/>
    </xf>
    <xf numFmtId="168" fontId="7" fillId="3" borderId="19" xfId="2" applyNumberFormat="1" applyFont="1" applyFill="1" applyBorder="1" applyAlignment="1">
      <alignment horizontal="center" vertical="center"/>
    </xf>
    <xf numFmtId="10" fontId="7" fillId="0" borderId="110" xfId="2" applyNumberFormat="1" applyFont="1" applyFill="1" applyBorder="1" applyAlignment="1">
      <alignment horizontal="center" vertical="center"/>
    </xf>
    <xf numFmtId="168" fontId="7" fillId="0" borderId="110" xfId="2" applyNumberFormat="1" applyFont="1" applyFill="1" applyBorder="1" applyAlignment="1">
      <alignment horizontal="center" vertical="center"/>
    </xf>
    <xf numFmtId="168" fontId="7" fillId="3" borderId="110" xfId="2" applyNumberFormat="1" applyFont="1" applyFill="1" applyBorder="1" applyAlignment="1">
      <alignment horizontal="center" vertical="center"/>
    </xf>
    <xf numFmtId="10" fontId="7" fillId="3" borderId="87" xfId="2" applyNumberFormat="1" applyFont="1" applyFill="1" applyBorder="1" applyAlignment="1">
      <alignment horizontal="center" vertical="center"/>
    </xf>
    <xf numFmtId="0" fontId="7" fillId="3" borderId="108" xfId="0" applyFont="1" applyFill="1" applyBorder="1" applyAlignment="1">
      <alignment horizontal="center" vertical="center"/>
    </xf>
    <xf numFmtId="168" fontId="7" fillId="3" borderId="82" xfId="2" applyNumberFormat="1" applyFont="1" applyFill="1" applyBorder="1" applyAlignment="1">
      <alignment horizontal="center" vertical="center"/>
    </xf>
    <xf numFmtId="168" fontId="7" fillId="3" borderId="28" xfId="2" applyNumberFormat="1" applyFont="1" applyFill="1" applyBorder="1" applyAlignment="1">
      <alignment horizontal="center" vertical="center"/>
    </xf>
    <xf numFmtId="168" fontId="7" fillId="25" borderId="28" xfId="2" applyNumberFormat="1" applyFont="1" applyFill="1" applyBorder="1" applyAlignment="1">
      <alignment horizontal="center" vertical="center"/>
    </xf>
    <xf numFmtId="168" fontId="7" fillId="3" borderId="93" xfId="2" applyNumberFormat="1" applyFont="1" applyFill="1" applyBorder="1" applyAlignment="1">
      <alignment horizontal="center" vertical="center"/>
    </xf>
    <xf numFmtId="10" fontId="7" fillId="0" borderId="108" xfId="2" applyNumberFormat="1" applyFont="1" applyFill="1" applyBorder="1" applyAlignment="1">
      <alignment horizontal="center" vertical="center"/>
    </xf>
    <xf numFmtId="168" fontId="7" fillId="0" borderId="108" xfId="2" applyNumberFormat="1" applyFont="1" applyFill="1" applyBorder="1" applyAlignment="1">
      <alignment horizontal="center" vertical="center"/>
    </xf>
    <xf numFmtId="168" fontId="7" fillId="3" borderId="108" xfId="2" applyNumberFormat="1" applyFont="1" applyFill="1" applyBorder="1" applyAlignment="1">
      <alignment horizontal="center" vertical="center"/>
    </xf>
    <xf numFmtId="1" fontId="16" fillId="3" borderId="0" xfId="2" applyNumberFormat="1" applyFont="1" applyFill="1" applyAlignment="1">
      <alignment horizontal="center" vertical="center"/>
    </xf>
    <xf numFmtId="9" fontId="7" fillId="3" borderId="100" xfId="2" applyFont="1" applyFill="1" applyBorder="1" applyAlignment="1">
      <alignment horizontal="center" vertical="center"/>
    </xf>
    <xf numFmtId="10" fontId="7" fillId="3" borderId="110" xfId="2" applyNumberFormat="1" applyFont="1" applyFill="1" applyBorder="1" applyAlignment="1">
      <alignment horizontal="center" vertical="center"/>
    </xf>
    <xf numFmtId="1" fontId="16" fillId="3" borderId="0" xfId="1" applyNumberFormat="1" applyFont="1" applyFill="1" applyAlignment="1">
      <alignment horizontal="center" vertical="center"/>
    </xf>
    <xf numFmtId="0" fontId="6" fillId="0" borderId="0" xfId="6"/>
    <xf numFmtId="0" fontId="42" fillId="0" borderId="0" xfId="6" applyFont="1"/>
    <xf numFmtId="1" fontId="6" fillId="0" borderId="0" xfId="6" applyNumberFormat="1"/>
    <xf numFmtId="0" fontId="6" fillId="0" borderId="0" xfId="6" applyBorder="1"/>
    <xf numFmtId="0" fontId="6" fillId="0" borderId="0" xfId="6" applyFill="1"/>
    <xf numFmtId="164" fontId="9" fillId="0" borderId="102" xfId="6" applyNumberFormat="1" applyFont="1" applyBorder="1" applyAlignment="1">
      <alignment horizontal="center"/>
    </xf>
    <xf numFmtId="1" fontId="8" fillId="0" borderId="103" xfId="3" applyNumberFormat="1" applyFont="1" applyBorder="1" applyAlignment="1">
      <alignment horizontal="center" vertical="center" wrapText="1"/>
    </xf>
    <xf numFmtId="1" fontId="8" fillId="0" borderId="58" xfId="3" applyNumberFormat="1" applyFont="1" applyBorder="1" applyAlignment="1">
      <alignment horizontal="center" vertical="center" wrapText="1"/>
    </xf>
    <xf numFmtId="1" fontId="8" fillId="0" borderId="111" xfId="6" applyNumberFormat="1" applyFont="1" applyBorder="1" applyAlignment="1">
      <alignment horizontal="center" vertical="center"/>
    </xf>
    <xf numFmtId="1" fontId="8" fillId="0" borderId="112" xfId="6" applyNumberFormat="1" applyFont="1" applyBorder="1" applyAlignment="1">
      <alignment horizontal="center" vertical="center"/>
    </xf>
    <xf numFmtId="1" fontId="8" fillId="0" borderId="111" xfId="3" applyNumberFormat="1" applyFont="1" applyBorder="1" applyAlignment="1">
      <alignment horizontal="center"/>
    </xf>
    <xf numFmtId="1" fontId="8" fillId="0" borderId="112" xfId="3" applyNumberFormat="1" applyFont="1" applyBorder="1" applyAlignment="1">
      <alignment horizontal="center"/>
    </xf>
    <xf numFmtId="1" fontId="8" fillId="0" borderId="58" xfId="6" applyNumberFormat="1" applyFont="1" applyBorder="1" applyAlignment="1">
      <alignment horizontal="center"/>
    </xf>
    <xf numFmtId="1" fontId="8" fillId="0" borderId="104" xfId="6" applyNumberFormat="1" applyFont="1" applyBorder="1" applyAlignment="1">
      <alignment horizontal="center"/>
    </xf>
    <xf numFmtId="1" fontId="8" fillId="17" borderId="58" xfId="6" applyNumberFormat="1" applyFont="1" applyFill="1" applyBorder="1" applyAlignment="1">
      <alignment horizontal="center" vertical="center"/>
    </xf>
    <xf numFmtId="1" fontId="8" fillId="17" borderId="112" xfId="6" applyNumberFormat="1" applyFont="1" applyFill="1" applyBorder="1" applyAlignment="1">
      <alignment horizontal="center" vertical="center"/>
    </xf>
    <xf numFmtId="1" fontId="8" fillId="17" borderId="111" xfId="6" applyNumberFormat="1" applyFont="1" applyFill="1" applyBorder="1" applyAlignment="1">
      <alignment horizontal="center" vertical="center"/>
    </xf>
    <xf numFmtId="0" fontId="8" fillId="17" borderId="111" xfId="6" applyFont="1" applyFill="1" applyBorder="1" applyAlignment="1">
      <alignment horizontal="center" vertical="center"/>
    </xf>
    <xf numFmtId="0" fontId="8" fillId="17" borderId="112" xfId="6" applyFont="1" applyFill="1" applyBorder="1" applyAlignment="1">
      <alignment horizontal="center" vertical="center"/>
    </xf>
    <xf numFmtId="1" fontId="8" fillId="0" borderId="111" xfId="6" applyNumberFormat="1" applyFont="1" applyBorder="1" applyAlignment="1">
      <alignment horizontal="center"/>
    </xf>
    <xf numFmtId="1" fontId="8" fillId="0" borderId="103" xfId="6" applyNumberFormat="1" applyFont="1" applyBorder="1" applyAlignment="1">
      <alignment horizontal="center"/>
    </xf>
    <xf numFmtId="1" fontId="8" fillId="0" borderId="112" xfId="6" applyNumberFormat="1" applyFont="1" applyBorder="1" applyAlignment="1">
      <alignment horizontal="center"/>
    </xf>
    <xf numFmtId="0" fontId="8" fillId="0" borderId="111" xfId="6" applyFont="1" applyBorder="1" applyAlignment="1">
      <alignment horizontal="center"/>
    </xf>
    <xf numFmtId="0" fontId="8" fillId="0" borderId="112" xfId="6" applyFont="1" applyBorder="1" applyAlignment="1">
      <alignment horizontal="center"/>
    </xf>
    <xf numFmtId="0" fontId="8" fillId="0" borderId="104" xfId="6" applyFont="1" applyBorder="1" applyAlignment="1">
      <alignment horizontal="center"/>
    </xf>
    <xf numFmtId="0" fontId="8" fillId="0" borderId="103" xfId="6" applyFont="1" applyBorder="1" applyAlignment="1">
      <alignment horizontal="center"/>
    </xf>
    <xf numFmtId="0" fontId="6" fillId="0" borderId="110" xfId="6" applyBorder="1"/>
    <xf numFmtId="0" fontId="8" fillId="0" borderId="105" xfId="6" applyFont="1" applyBorder="1" applyAlignment="1">
      <alignment horizontal="center"/>
    </xf>
    <xf numFmtId="0" fontId="8" fillId="0" borderId="20" xfId="6" applyFont="1" applyBorder="1" applyAlignment="1">
      <alignment horizontal="center"/>
    </xf>
    <xf numFmtId="1" fontId="8" fillId="0" borderId="113" xfId="6" applyNumberFormat="1" applyFont="1" applyBorder="1" applyAlignment="1">
      <alignment horizontal="center"/>
    </xf>
    <xf numFmtId="1" fontId="8" fillId="0" borderId="114" xfId="6" applyNumberFormat="1" applyFont="1" applyBorder="1" applyAlignment="1">
      <alignment horizontal="center"/>
    </xf>
    <xf numFmtId="1" fontId="8" fillId="0" borderId="115" xfId="6" applyNumberFormat="1" applyFont="1" applyBorder="1" applyAlignment="1">
      <alignment horizontal="center"/>
    </xf>
    <xf numFmtId="0" fontId="8" fillId="0" borderId="74" xfId="6" applyFont="1" applyBorder="1" applyAlignment="1">
      <alignment horizontal="center"/>
    </xf>
    <xf numFmtId="0" fontId="8" fillId="0" borderId="116" xfId="6" applyFont="1" applyBorder="1" applyAlignment="1">
      <alignment horizontal="center"/>
    </xf>
    <xf numFmtId="0" fontId="8" fillId="0" borderId="74" xfId="6" applyFont="1" applyBorder="1" applyAlignment="1">
      <alignment horizontal="center" vertical="center"/>
    </xf>
    <xf numFmtId="0" fontId="8" fillId="0" borderId="115" xfId="6" applyFont="1" applyBorder="1" applyAlignment="1">
      <alignment horizontal="center" vertical="center"/>
    </xf>
    <xf numFmtId="0" fontId="8" fillId="0" borderId="72" xfId="6" applyFont="1" applyBorder="1" applyAlignment="1">
      <alignment horizontal="center" vertical="center"/>
    </xf>
    <xf numFmtId="0" fontId="8" fillId="0" borderId="113" xfId="6" applyFont="1" applyBorder="1" applyAlignment="1">
      <alignment horizontal="center" vertical="center"/>
    </xf>
    <xf numFmtId="0" fontId="8" fillId="0" borderId="106" xfId="6" applyFont="1" applyBorder="1" applyAlignment="1">
      <alignment horizontal="center"/>
    </xf>
    <xf numFmtId="0" fontId="8" fillId="0" borderId="87" xfId="6" applyFont="1" applyBorder="1" applyAlignment="1">
      <alignment horizontal="center"/>
    </xf>
    <xf numFmtId="0" fontId="8" fillId="0" borderId="115" xfId="6" applyFont="1" applyBorder="1" applyAlignment="1">
      <alignment horizontal="center"/>
    </xf>
    <xf numFmtId="0" fontId="8" fillId="0" borderId="22" xfId="6" applyFont="1" applyBorder="1" applyAlignment="1">
      <alignment horizontal="center"/>
    </xf>
    <xf numFmtId="0" fontId="8" fillId="0" borderId="113" xfId="6" applyFont="1" applyBorder="1" applyAlignment="1">
      <alignment horizontal="center"/>
    </xf>
    <xf numFmtId="0" fontId="8" fillId="0" borderId="72" xfId="6" applyFont="1" applyBorder="1" applyAlignment="1">
      <alignment horizontal="center"/>
    </xf>
    <xf numFmtId="0" fontId="8" fillId="0" borderId="76" xfId="6" applyFont="1" applyBorder="1" applyAlignment="1">
      <alignment horizontal="center"/>
    </xf>
    <xf numFmtId="0" fontId="8" fillId="0" borderId="90" xfId="6" applyFont="1" applyBorder="1" applyAlignment="1">
      <alignment horizontal="center"/>
    </xf>
    <xf numFmtId="0" fontId="6" fillId="0" borderId="110" xfId="6" applyBorder="1" applyAlignment="1">
      <alignment horizontal="center"/>
    </xf>
    <xf numFmtId="1" fontId="6" fillId="0" borderId="87" xfId="17" applyNumberFormat="1" applyFont="1" applyFill="1" applyBorder="1" applyAlignment="1">
      <alignment horizontal="center"/>
    </xf>
    <xf numFmtId="1" fontId="6" fillId="0" borderId="20" xfId="17" applyNumberFormat="1" applyFont="1" applyFill="1" applyBorder="1" applyAlignment="1">
      <alignment horizontal="center"/>
    </xf>
    <xf numFmtId="1" fontId="6" fillId="0" borderId="117" xfId="0" applyNumberFormat="1" applyFont="1" applyFill="1" applyBorder="1" applyAlignment="1">
      <alignment horizontal="center" vertical="center"/>
    </xf>
    <xf numFmtId="1" fontId="6" fillId="0" borderId="114" xfId="0" applyNumberFormat="1" applyFont="1" applyFill="1" applyBorder="1" applyAlignment="1">
      <alignment horizontal="center" vertical="center"/>
    </xf>
    <xf numFmtId="1" fontId="6" fillId="0" borderId="117" xfId="17" applyNumberFormat="1" applyFont="1" applyFill="1" applyBorder="1" applyAlignment="1">
      <alignment horizontal="center"/>
    </xf>
    <xf numFmtId="1" fontId="6" fillId="0" borderId="114" xfId="3" applyNumberFormat="1" applyFont="1" applyBorder="1" applyAlignment="1">
      <alignment horizontal="center"/>
    </xf>
    <xf numFmtId="1" fontId="6" fillId="0" borderId="22" xfId="17" applyNumberFormat="1" applyFont="1" applyFill="1" applyBorder="1" applyAlignment="1">
      <alignment horizontal="center"/>
    </xf>
    <xf numFmtId="1" fontId="6" fillId="0" borderId="91" xfId="17" applyNumberFormat="1" applyFont="1" applyFill="1" applyBorder="1" applyAlignment="1">
      <alignment horizontal="center"/>
    </xf>
    <xf numFmtId="1" fontId="15" fillId="0" borderId="22" xfId="0" applyNumberFormat="1" applyFont="1" applyFill="1" applyBorder="1" applyAlignment="1">
      <alignment horizontal="center" vertical="center"/>
    </xf>
    <xf numFmtId="1" fontId="15" fillId="0" borderId="114" xfId="0" applyNumberFormat="1" applyFont="1" applyFill="1" applyBorder="1" applyAlignment="1">
      <alignment horizontal="center" vertical="center"/>
    </xf>
    <xf numFmtId="1" fontId="15" fillId="0" borderId="117" xfId="8" applyNumberFormat="1" applyFont="1" applyFill="1" applyBorder="1" applyAlignment="1">
      <alignment horizontal="center" vertical="center"/>
    </xf>
    <xf numFmtId="1" fontId="15" fillId="0" borderId="114" xfId="8" applyNumberFormat="1" applyFont="1" applyFill="1" applyBorder="1" applyAlignment="1">
      <alignment horizontal="center" vertical="center"/>
    </xf>
    <xf numFmtId="1" fontId="15" fillId="0" borderId="117" xfId="0" applyNumberFormat="1" applyFont="1" applyFill="1" applyBorder="1" applyAlignment="1">
      <alignment horizontal="center" vertical="center"/>
    </xf>
    <xf numFmtId="1" fontId="15" fillId="0" borderId="20" xfId="8" applyNumberFormat="1" applyFont="1" applyFill="1" applyBorder="1" applyAlignment="1">
      <alignment horizontal="center" vertical="center"/>
    </xf>
    <xf numFmtId="1" fontId="15" fillId="0" borderId="117" xfId="3" applyNumberFormat="1" applyFont="1" applyFill="1" applyBorder="1" applyAlignment="1">
      <alignment horizontal="center" vertical="center"/>
    </xf>
    <xf numFmtId="1" fontId="15" fillId="0" borderId="20" xfId="3" applyNumberFormat="1" applyFont="1" applyFill="1" applyBorder="1" applyAlignment="1">
      <alignment horizontal="center" vertical="center"/>
    </xf>
    <xf numFmtId="1" fontId="15" fillId="0" borderId="117" xfId="0" applyNumberFormat="1" applyFont="1" applyFill="1" applyBorder="1" applyAlignment="1">
      <alignment horizontal="center"/>
    </xf>
    <xf numFmtId="1" fontId="15" fillId="0" borderId="116" xfId="0" applyNumberFormat="1" applyFont="1" applyFill="1" applyBorder="1" applyAlignment="1">
      <alignment horizontal="center"/>
    </xf>
    <xf numFmtId="1" fontId="15" fillId="0" borderId="87" xfId="0" applyNumberFormat="1" applyFont="1" applyFill="1" applyBorder="1" applyAlignment="1">
      <alignment horizontal="center"/>
    </xf>
    <xf numFmtId="1" fontId="15" fillId="0" borderId="114" xfId="0" applyNumberFormat="1" applyFont="1" applyFill="1" applyBorder="1" applyAlignment="1">
      <alignment horizontal="center"/>
    </xf>
    <xf numFmtId="0" fontId="6" fillId="0" borderId="22" xfId="0" applyFont="1" applyFill="1" applyBorder="1" applyAlignment="1">
      <alignment horizontal="center"/>
    </xf>
    <xf numFmtId="0" fontId="6" fillId="0" borderId="20" xfId="0" applyFont="1" applyFill="1" applyBorder="1" applyAlignment="1">
      <alignment horizontal="center"/>
    </xf>
    <xf numFmtId="0" fontId="6" fillId="0" borderId="117" xfId="0" applyFont="1" applyFill="1" applyBorder="1" applyAlignment="1">
      <alignment horizontal="center"/>
    </xf>
    <xf numFmtId="0" fontId="6" fillId="0" borderId="114" xfId="0" applyFont="1" applyFill="1" applyBorder="1" applyAlignment="1">
      <alignment horizontal="center"/>
    </xf>
    <xf numFmtId="0" fontId="6" fillId="0" borderId="117" xfId="0" applyFont="1" applyBorder="1" applyAlignment="1">
      <alignment horizontal="center" vertical="center"/>
    </xf>
    <xf numFmtId="0" fontId="6" fillId="0" borderId="114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17" xfId="0" applyFont="1" applyFill="1" applyBorder="1" applyAlignment="1">
      <alignment horizontal="center" vertical="center"/>
    </xf>
    <xf numFmtId="0" fontId="6" fillId="0" borderId="114" xfId="0" applyFont="1" applyFill="1" applyBorder="1" applyAlignment="1">
      <alignment horizontal="center" vertical="center"/>
    </xf>
    <xf numFmtId="0" fontId="6" fillId="0" borderId="91" xfId="0" applyFont="1" applyFill="1" applyBorder="1" applyAlignment="1">
      <alignment horizontal="center" vertical="center"/>
    </xf>
    <xf numFmtId="1" fontId="8" fillId="0" borderId="69" xfId="6" applyNumberFormat="1" applyFont="1" applyBorder="1" applyAlignment="1">
      <alignment horizontal="center"/>
    </xf>
    <xf numFmtId="1" fontId="8" fillId="0" borderId="91" xfId="6" applyNumberFormat="1" applyFont="1" applyBorder="1" applyAlignment="1">
      <alignment horizontal="center"/>
    </xf>
    <xf numFmtId="1" fontId="6" fillId="0" borderId="0" xfId="6" applyNumberFormat="1" applyFont="1" applyAlignment="1"/>
    <xf numFmtId="0" fontId="6" fillId="0" borderId="0" xfId="6" applyFont="1" applyAlignment="1"/>
    <xf numFmtId="0" fontId="6" fillId="0" borderId="118" xfId="6" applyBorder="1" applyAlignment="1">
      <alignment horizontal="center"/>
    </xf>
    <xf numFmtId="1" fontId="8" fillId="0" borderId="22" xfId="6" applyNumberFormat="1" applyFont="1" applyBorder="1" applyAlignment="1">
      <alignment horizontal="center"/>
    </xf>
    <xf numFmtId="1" fontId="6" fillId="0" borderId="69" xfId="17" applyNumberFormat="1" applyFont="1" applyFill="1" applyBorder="1" applyAlignment="1">
      <alignment horizontal="center"/>
    </xf>
    <xf numFmtId="0" fontId="6" fillId="6" borderId="118" xfId="6" applyFill="1" applyBorder="1" applyAlignment="1">
      <alignment horizontal="center"/>
    </xf>
    <xf numFmtId="1" fontId="6" fillId="6" borderId="119" xfId="3" applyNumberFormat="1" applyFont="1" applyFill="1" applyBorder="1" applyAlignment="1">
      <alignment horizontal="center" wrapText="1"/>
    </xf>
    <xf numFmtId="1" fontId="6" fillId="6" borderId="69" xfId="3" applyNumberFormat="1" applyFont="1" applyFill="1" applyBorder="1" applyAlignment="1">
      <alignment horizontal="center" wrapText="1"/>
    </xf>
    <xf numFmtId="1" fontId="6" fillId="6" borderId="120" xfId="0" applyNumberFormat="1" applyFont="1" applyFill="1" applyBorder="1" applyAlignment="1">
      <alignment horizontal="center" vertical="center"/>
    </xf>
    <xf numFmtId="1" fontId="6" fillId="6" borderId="121" xfId="0" applyNumberFormat="1" applyFont="1" applyFill="1" applyBorder="1" applyAlignment="1">
      <alignment horizontal="center" vertical="center"/>
    </xf>
    <xf numFmtId="1" fontId="6" fillId="6" borderId="69" xfId="0" applyNumberFormat="1" applyFont="1" applyFill="1" applyBorder="1" applyAlignment="1">
      <alignment horizontal="center" vertical="center"/>
    </xf>
    <xf numFmtId="1" fontId="6" fillId="6" borderId="116" xfId="0" applyNumberFormat="1" applyFont="1" applyFill="1" applyBorder="1" applyAlignment="1">
      <alignment horizontal="center" vertical="center"/>
    </xf>
    <xf numFmtId="1" fontId="15" fillId="6" borderId="69" xfId="0" applyNumberFormat="1" applyFont="1" applyFill="1" applyBorder="1" applyAlignment="1">
      <alignment horizontal="center" vertical="center"/>
    </xf>
    <xf numFmtId="1" fontId="15" fillId="6" borderId="121" xfId="0" applyNumberFormat="1" applyFont="1" applyFill="1" applyBorder="1" applyAlignment="1">
      <alignment horizontal="center" vertical="center"/>
    </xf>
    <xf numFmtId="1" fontId="15" fillId="6" borderId="120" xfId="0" applyNumberFormat="1" applyFont="1" applyFill="1" applyBorder="1" applyAlignment="1">
      <alignment horizontal="center" vertical="center"/>
    </xf>
    <xf numFmtId="1" fontId="15" fillId="6" borderId="120" xfId="3" applyNumberFormat="1" applyFont="1" applyFill="1" applyBorder="1" applyAlignment="1">
      <alignment horizontal="center" vertical="center"/>
    </xf>
    <xf numFmtId="0" fontId="15" fillId="6" borderId="121" xfId="3" applyFont="1" applyFill="1" applyBorder="1" applyAlignment="1">
      <alignment horizontal="center" vertical="center"/>
    </xf>
    <xf numFmtId="0" fontId="15" fillId="6" borderId="120" xfId="3" applyFont="1" applyFill="1" applyBorder="1" applyAlignment="1">
      <alignment horizontal="center" vertical="center"/>
    </xf>
    <xf numFmtId="1" fontId="15" fillId="6" borderId="120" xfId="0" applyNumberFormat="1" applyFont="1" applyFill="1" applyBorder="1" applyAlignment="1">
      <alignment horizontal="center"/>
    </xf>
    <xf numFmtId="1" fontId="15" fillId="6" borderId="116" xfId="0" applyNumberFormat="1" applyFont="1" applyFill="1" applyBorder="1" applyAlignment="1">
      <alignment horizontal="center"/>
    </xf>
    <xf numFmtId="1" fontId="15" fillId="6" borderId="119" xfId="0" applyNumberFormat="1" applyFont="1" applyFill="1" applyBorder="1" applyAlignment="1">
      <alignment horizontal="center"/>
    </xf>
    <xf numFmtId="1" fontId="15" fillId="6" borderId="121" xfId="0" applyNumberFormat="1" applyFont="1" applyFill="1" applyBorder="1" applyAlignment="1">
      <alignment horizontal="center"/>
    </xf>
    <xf numFmtId="1" fontId="6" fillId="6" borderId="120" xfId="0" applyNumberFormat="1" applyFont="1" applyFill="1" applyBorder="1" applyAlignment="1">
      <alignment horizontal="center"/>
    </xf>
    <xf numFmtId="1" fontId="6" fillId="6" borderId="121" xfId="0" applyNumberFormat="1" applyFont="1" applyFill="1" applyBorder="1" applyAlignment="1">
      <alignment horizontal="center"/>
    </xf>
    <xf numFmtId="0" fontId="6" fillId="6" borderId="120" xfId="0" applyFont="1" applyFill="1" applyBorder="1" applyAlignment="1">
      <alignment horizontal="center"/>
    </xf>
    <xf numFmtId="0" fontId="6" fillId="6" borderId="121" xfId="0" applyFont="1" applyFill="1" applyBorder="1" applyAlignment="1">
      <alignment horizontal="center"/>
    </xf>
    <xf numFmtId="0" fontId="6" fillId="6" borderId="116" xfId="0" applyFont="1" applyFill="1" applyBorder="1" applyAlignment="1">
      <alignment horizontal="center"/>
    </xf>
    <xf numFmtId="3" fontId="2" fillId="6" borderId="119" xfId="1" applyNumberFormat="1" applyFont="1" applyFill="1" applyBorder="1" applyAlignment="1">
      <alignment horizontal="center"/>
    </xf>
    <xf numFmtId="3" fontId="2" fillId="6" borderId="116" xfId="1" applyNumberFormat="1" applyFont="1" applyFill="1" applyBorder="1" applyAlignment="1">
      <alignment horizontal="center"/>
    </xf>
    <xf numFmtId="0" fontId="6" fillId="0" borderId="0" xfId="6" applyFont="1"/>
    <xf numFmtId="0" fontId="43" fillId="6" borderId="118" xfId="6" applyFont="1" applyFill="1" applyBorder="1" applyAlignment="1">
      <alignment horizontal="center"/>
    </xf>
    <xf numFmtId="1" fontId="6" fillId="6" borderId="120" xfId="3" applyNumberFormat="1" applyFont="1" applyFill="1" applyBorder="1" applyAlignment="1">
      <alignment horizontal="center" vertical="center"/>
    </xf>
    <xf numFmtId="1" fontId="6" fillId="6" borderId="121" xfId="3" applyNumberFormat="1" applyFont="1" applyFill="1" applyBorder="1" applyAlignment="1">
      <alignment horizontal="center" vertical="center"/>
    </xf>
    <xf numFmtId="1" fontId="6" fillId="6" borderId="69" xfId="0" applyNumberFormat="1" applyFont="1" applyFill="1" applyBorder="1" applyAlignment="1">
      <alignment horizontal="center"/>
    </xf>
    <xf numFmtId="1" fontId="6" fillId="6" borderId="116" xfId="0" applyNumberFormat="1" applyFont="1" applyFill="1" applyBorder="1" applyAlignment="1">
      <alignment horizontal="center"/>
    </xf>
    <xf numFmtId="1" fontId="15" fillId="6" borderId="121" xfId="3" applyNumberFormat="1" applyFont="1" applyFill="1" applyBorder="1" applyAlignment="1">
      <alignment horizontal="center" vertical="center"/>
    </xf>
    <xf numFmtId="1" fontId="15" fillId="6" borderId="116" xfId="0" applyNumberFormat="1" applyFont="1" applyFill="1" applyBorder="1" applyAlignment="1">
      <alignment horizontal="center" vertical="center"/>
    </xf>
    <xf numFmtId="1" fontId="15" fillId="6" borderId="119" xfId="0" applyNumberFormat="1" applyFont="1" applyFill="1" applyBorder="1" applyAlignment="1">
      <alignment horizontal="center" vertical="center"/>
    </xf>
    <xf numFmtId="3" fontId="8" fillId="6" borderId="119" xfId="1" applyNumberFormat="1" applyFont="1" applyFill="1" applyBorder="1" applyAlignment="1">
      <alignment horizontal="center"/>
    </xf>
    <xf numFmtId="3" fontId="8" fillId="6" borderId="116" xfId="1" applyNumberFormat="1" applyFont="1" applyFill="1" applyBorder="1" applyAlignment="1">
      <alignment horizontal="center"/>
    </xf>
    <xf numFmtId="1" fontId="8" fillId="6" borderId="119" xfId="3" applyNumberFormat="1" applyFont="1" applyFill="1" applyBorder="1" applyAlignment="1">
      <alignment horizontal="center" wrapText="1"/>
    </xf>
    <xf numFmtId="1" fontId="8" fillId="6" borderId="69" xfId="3" applyNumberFormat="1" applyFont="1" applyFill="1" applyBorder="1" applyAlignment="1">
      <alignment horizontal="center" wrapText="1"/>
    </xf>
    <xf numFmtId="1" fontId="8" fillId="6" borderId="120" xfId="3" applyNumberFormat="1" applyFont="1" applyFill="1" applyBorder="1" applyAlignment="1">
      <alignment horizontal="center" wrapText="1"/>
    </xf>
    <xf numFmtId="1" fontId="8" fillId="6" borderId="121" xfId="3" applyNumberFormat="1" applyFont="1" applyFill="1" applyBorder="1" applyAlignment="1">
      <alignment horizontal="center" wrapText="1"/>
    </xf>
    <xf numFmtId="1" fontId="8" fillId="6" borderId="116" xfId="3" applyNumberFormat="1" applyFont="1" applyFill="1" applyBorder="1" applyAlignment="1">
      <alignment horizontal="center" wrapText="1"/>
    </xf>
    <xf numFmtId="3" fontId="6" fillId="0" borderId="0" xfId="6" applyNumberFormat="1"/>
    <xf numFmtId="9" fontId="6" fillId="6" borderId="122" xfId="5" applyFont="1" applyFill="1" applyBorder="1" applyAlignment="1">
      <alignment horizontal="center" wrapText="1"/>
    </xf>
    <xf numFmtId="9" fontId="6" fillId="6" borderId="70" xfId="5" applyFont="1" applyFill="1" applyBorder="1" applyAlignment="1">
      <alignment horizontal="center" wrapText="1"/>
    </xf>
    <xf numFmtId="9" fontId="6" fillId="6" borderId="123" xfId="5" applyFont="1" applyFill="1" applyBorder="1" applyAlignment="1">
      <alignment horizontal="center" wrapText="1"/>
    </xf>
    <xf numFmtId="9" fontId="6" fillId="6" borderId="124" xfId="5" applyFont="1" applyFill="1" applyBorder="1" applyAlignment="1">
      <alignment horizontal="center" wrapText="1"/>
    </xf>
    <xf numFmtId="9" fontId="6" fillId="6" borderId="125" xfId="5" applyFont="1" applyFill="1" applyBorder="1" applyAlignment="1">
      <alignment horizontal="center" wrapText="1"/>
    </xf>
    <xf numFmtId="168" fontId="8" fillId="6" borderId="88" xfId="5" applyNumberFormat="1" applyFont="1" applyFill="1" applyBorder="1" applyAlignment="1">
      <alignment horizontal="center" wrapText="1"/>
    </xf>
    <xf numFmtId="168" fontId="8" fillId="6" borderId="107" xfId="5" applyNumberFormat="1" applyFont="1" applyFill="1" applyBorder="1" applyAlignment="1">
      <alignment horizontal="center" wrapText="1"/>
    </xf>
    <xf numFmtId="0" fontId="8" fillId="0" borderId="0" xfId="6" applyFont="1"/>
    <xf numFmtId="0" fontId="43" fillId="0" borderId="118" xfId="6" applyFont="1" applyBorder="1" applyAlignment="1">
      <alignment horizontal="center"/>
    </xf>
    <xf numFmtId="1" fontId="0" fillId="0" borderId="126" xfId="3" applyNumberFormat="1" applyFont="1" applyBorder="1" applyAlignment="1">
      <alignment horizontal="center"/>
    </xf>
    <xf numFmtId="1" fontId="0" fillId="0" borderId="8" xfId="3" applyNumberFormat="1" applyFont="1" applyBorder="1" applyAlignment="1">
      <alignment horizontal="center"/>
    </xf>
    <xf numFmtId="1" fontId="0" fillId="0" borderId="127" xfId="3" applyNumberFormat="1" applyFont="1" applyBorder="1" applyAlignment="1">
      <alignment horizontal="center"/>
    </xf>
    <xf numFmtId="1" fontId="0" fillId="0" borderId="128" xfId="3" applyNumberFormat="1" applyFont="1" applyBorder="1" applyAlignment="1">
      <alignment horizontal="center"/>
    </xf>
    <xf numFmtId="1" fontId="0" fillId="0" borderId="103" xfId="3" applyNumberFormat="1" applyFont="1" applyBorder="1" applyAlignment="1">
      <alignment horizontal="center"/>
    </xf>
    <xf numFmtId="1" fontId="0" fillId="0" borderId="58" xfId="3" applyNumberFormat="1" applyFont="1" applyBorder="1" applyAlignment="1">
      <alignment horizontal="center"/>
    </xf>
    <xf numFmtId="3" fontId="2" fillId="0" borderId="103" xfId="1" applyNumberFormat="1" applyFont="1" applyFill="1" applyBorder="1" applyAlignment="1">
      <alignment horizontal="center"/>
    </xf>
    <xf numFmtId="3" fontId="2" fillId="0" borderId="104" xfId="1" applyNumberFormat="1" applyFont="1" applyFill="1" applyBorder="1" applyAlignment="1">
      <alignment horizontal="center"/>
    </xf>
    <xf numFmtId="10" fontId="6" fillId="0" borderId="0" xfId="6" applyNumberFormat="1"/>
    <xf numFmtId="0" fontId="33" fillId="0" borderId="108" xfId="6" applyFont="1" applyBorder="1" applyAlignment="1">
      <alignment horizontal="center"/>
    </xf>
    <xf numFmtId="3" fontId="8" fillId="0" borderId="122" xfId="1" applyNumberFormat="1" applyFont="1" applyBorder="1" applyAlignment="1">
      <alignment horizontal="center"/>
    </xf>
    <xf numFmtId="3" fontId="8" fillId="0" borderId="124" xfId="1" applyNumberFormat="1" applyFont="1" applyBorder="1" applyAlignment="1">
      <alignment horizontal="center"/>
    </xf>
    <xf numFmtId="3" fontId="8" fillId="0" borderId="123" xfId="1" applyNumberFormat="1" applyFont="1" applyBorder="1" applyAlignment="1">
      <alignment horizontal="center"/>
    </xf>
    <xf numFmtId="3" fontId="8" fillId="0" borderId="70" xfId="1" applyNumberFormat="1" applyFont="1" applyBorder="1" applyAlignment="1">
      <alignment horizontal="center"/>
    </xf>
    <xf numFmtId="3" fontId="8" fillId="0" borderId="129" xfId="1" applyNumberFormat="1" applyFont="1" applyBorder="1" applyAlignment="1">
      <alignment horizontal="center"/>
    </xf>
    <xf numFmtId="3" fontId="8" fillId="0" borderId="130" xfId="1" applyNumberFormat="1" applyFont="1" applyBorder="1" applyAlignment="1">
      <alignment horizontal="center"/>
    </xf>
    <xf numFmtId="3" fontId="8" fillId="0" borderId="125" xfId="1" applyNumberFormat="1" applyFont="1" applyBorder="1" applyAlignment="1">
      <alignment horizontal="center"/>
    </xf>
    <xf numFmtId="3" fontId="44" fillId="0" borderId="122" xfId="1" applyNumberFormat="1" applyFont="1" applyBorder="1" applyAlignment="1">
      <alignment horizontal="center"/>
    </xf>
    <xf numFmtId="3" fontId="44" fillId="0" borderId="125" xfId="1" applyNumberFormat="1" applyFont="1" applyBorder="1" applyAlignment="1">
      <alignment horizontal="center"/>
    </xf>
    <xf numFmtId="0" fontId="6" fillId="0" borderId="131" xfId="6" applyBorder="1"/>
    <xf numFmtId="1" fontId="45" fillId="0" borderId="0" xfId="6" applyNumberFormat="1" applyFont="1" applyAlignment="1">
      <alignment horizontal="center"/>
    </xf>
    <xf numFmtId="0" fontId="45" fillId="0" borderId="86" xfId="6" applyFont="1" applyBorder="1" applyAlignment="1">
      <alignment horizontal="center"/>
    </xf>
    <xf numFmtId="1" fontId="45" fillId="0" borderId="0" xfId="3" applyNumberFormat="1" applyFont="1" applyAlignment="1">
      <alignment horizontal="center"/>
    </xf>
    <xf numFmtId="1" fontId="6" fillId="0" borderId="0" xfId="3" applyNumberFormat="1" applyAlignment="1">
      <alignment horizontal="center"/>
    </xf>
    <xf numFmtId="0" fontId="6" fillId="0" borderId="0" xfId="6" applyAlignment="1">
      <alignment horizontal="center"/>
    </xf>
    <xf numFmtId="166" fontId="0" fillId="0" borderId="0" xfId="1" applyNumberFormat="1" applyFont="1" applyBorder="1" applyAlignment="1"/>
    <xf numFmtId="0" fontId="45" fillId="0" borderId="0" xfId="6" applyFont="1" applyAlignment="1">
      <alignment horizontal="center"/>
    </xf>
    <xf numFmtId="164" fontId="9" fillId="0" borderId="103" xfId="6" applyNumberFormat="1" applyFont="1" applyBorder="1" applyAlignment="1">
      <alignment horizontal="center"/>
    </xf>
    <xf numFmtId="166" fontId="2" fillId="0" borderId="103" xfId="1" applyNumberFormat="1" applyFont="1" applyFill="1" applyBorder="1" applyAlignment="1">
      <alignment horizontal="center" vertical="center"/>
    </xf>
    <xf numFmtId="166" fontId="2" fillId="0" borderId="104" xfId="1" applyNumberFormat="1" applyFont="1" applyFill="1" applyBorder="1" applyAlignment="1">
      <alignment horizontal="center" vertical="center"/>
    </xf>
    <xf numFmtId="0" fontId="46" fillId="0" borderId="0" xfId="6" applyFont="1"/>
    <xf numFmtId="14" fontId="6" fillId="0" borderId="122" xfId="6" applyNumberFormat="1" applyBorder="1" applyAlignment="1">
      <alignment horizontal="center" wrapText="1"/>
    </xf>
    <xf numFmtId="10" fontId="47" fillId="0" borderId="122" xfId="5" applyNumberFormat="1" applyFont="1" applyBorder="1" applyAlignment="1">
      <alignment horizontal="center"/>
    </xf>
    <xf numFmtId="10" fontId="47" fillId="0" borderId="124" xfId="5" applyNumberFormat="1" applyFont="1" applyBorder="1" applyAlignment="1">
      <alignment horizontal="center"/>
    </xf>
    <xf numFmtId="10" fontId="47" fillId="0" borderId="123" xfId="5" applyNumberFormat="1" applyFont="1" applyBorder="1" applyAlignment="1">
      <alignment horizontal="center"/>
    </xf>
    <xf numFmtId="10" fontId="47" fillId="0" borderId="125" xfId="5" applyNumberFormat="1" applyFont="1" applyBorder="1" applyAlignment="1">
      <alignment horizontal="center"/>
    </xf>
    <xf numFmtId="0" fontId="6" fillId="0" borderId="0" xfId="6" applyFont="1" applyAlignment="1">
      <alignment vertical="center"/>
    </xf>
    <xf numFmtId="0" fontId="48" fillId="0" borderId="0" xfId="6" applyFont="1" applyAlignment="1">
      <alignment vertical="center"/>
    </xf>
    <xf numFmtId="0" fontId="49" fillId="0" borderId="0" xfId="6" applyFont="1" applyAlignment="1">
      <alignment vertical="center"/>
    </xf>
    <xf numFmtId="1" fontId="6" fillId="0" borderId="0" xfId="6" applyNumberFormat="1" applyAlignment="1">
      <alignment horizontal="center"/>
    </xf>
    <xf numFmtId="1" fontId="8" fillId="0" borderId="0" xfId="6" applyNumberFormat="1" applyFont="1" applyAlignment="1">
      <alignment horizontal="center"/>
    </xf>
    <xf numFmtId="1" fontId="8" fillId="0" borderId="0" xfId="6" applyNumberFormat="1" applyFont="1" applyBorder="1" applyAlignment="1">
      <alignment horizontal="center"/>
    </xf>
    <xf numFmtId="0" fontId="50" fillId="0" borderId="0" xfId="6" applyFont="1"/>
    <xf numFmtId="1" fontId="46" fillId="0" borderId="0" xfId="6" applyNumberFormat="1" applyFont="1"/>
    <xf numFmtId="166" fontId="6" fillId="0" borderId="0" xfId="6" applyNumberFormat="1"/>
    <xf numFmtId="17" fontId="37" fillId="0" borderId="103" xfId="0" applyNumberFormat="1" applyFont="1" applyBorder="1" applyAlignment="1">
      <alignment horizontal="center" vertical="center"/>
    </xf>
    <xf numFmtId="17" fontId="37" fillId="0" borderId="44" xfId="0" applyNumberFormat="1" applyFont="1" applyBorder="1" applyAlignment="1">
      <alignment horizontal="center" vertical="center"/>
    </xf>
    <xf numFmtId="166" fontId="37" fillId="0" borderId="42" xfId="1" applyNumberFormat="1" applyFont="1" applyBorder="1" applyAlignment="1">
      <alignment horizontal="center" vertical="center"/>
    </xf>
    <xf numFmtId="166" fontId="37" fillId="0" borderId="104" xfId="1" applyNumberFormat="1" applyFont="1" applyBorder="1" applyAlignment="1">
      <alignment horizontal="center" vertical="center"/>
    </xf>
    <xf numFmtId="43" fontId="6" fillId="0" borderId="0" xfId="6" applyNumberFormat="1"/>
    <xf numFmtId="17" fontId="37" fillId="0" borderId="119" xfId="0" applyNumberFormat="1" applyFont="1" applyBorder="1" applyAlignment="1">
      <alignment horizontal="center" vertical="center"/>
    </xf>
    <xf numFmtId="17" fontId="37" fillId="0" borderId="22" xfId="0" applyNumberFormat="1" applyFont="1" applyBorder="1" applyAlignment="1">
      <alignment horizontal="center" vertical="center"/>
    </xf>
    <xf numFmtId="166" fontId="37" fillId="0" borderId="20" xfId="0" applyNumberFormat="1" applyFont="1" applyBorder="1" applyAlignment="1">
      <alignment horizontal="center" vertical="center"/>
    </xf>
    <xf numFmtId="166" fontId="37" fillId="0" borderId="116" xfId="0" applyNumberFormat="1" applyFont="1" applyBorder="1" applyAlignment="1">
      <alignment horizontal="center" vertical="center"/>
    </xf>
    <xf numFmtId="168" fontId="0" fillId="0" borderId="0" xfId="5" applyNumberFormat="1" applyFont="1" applyBorder="1"/>
    <xf numFmtId="9" fontId="0" fillId="0" borderId="0" xfId="5" applyFont="1"/>
    <xf numFmtId="0" fontId="37" fillId="0" borderId="119" xfId="6" applyFont="1" applyBorder="1" applyAlignment="1">
      <alignment horizontal="center" vertical="center"/>
    </xf>
    <xf numFmtId="0" fontId="37" fillId="0" borderId="22" xfId="6" applyFont="1" applyBorder="1" applyAlignment="1">
      <alignment horizontal="center" vertical="center"/>
    </xf>
    <xf numFmtId="166" fontId="37" fillId="0" borderId="20" xfId="1" applyNumberFormat="1" applyFont="1" applyBorder="1" applyAlignment="1">
      <alignment horizontal="center" vertical="center"/>
    </xf>
    <xf numFmtId="166" fontId="37" fillId="0" borderId="116" xfId="1" applyNumberFormat="1" applyFont="1" applyBorder="1" applyAlignment="1">
      <alignment horizontal="center" vertical="center"/>
    </xf>
    <xf numFmtId="0" fontId="53" fillId="0" borderId="0" xfId="6" applyFont="1"/>
    <xf numFmtId="0" fontId="49" fillId="0" borderId="0" xfId="6" applyFont="1"/>
    <xf numFmtId="166" fontId="0" fillId="0" borderId="0" xfId="6" applyNumberFormat="1" applyFont="1"/>
    <xf numFmtId="0" fontId="55" fillId="0" borderId="0" xfId="6" applyFont="1"/>
    <xf numFmtId="0" fontId="8" fillId="0" borderId="122" xfId="6" applyFont="1" applyBorder="1" applyAlignment="1">
      <alignment horizontal="center"/>
    </xf>
    <xf numFmtId="0" fontId="8" fillId="0" borderId="31" xfId="6" applyFont="1" applyBorder="1" applyAlignment="1">
      <alignment horizontal="center"/>
    </xf>
    <xf numFmtId="166" fontId="37" fillId="0" borderId="29" xfId="1" applyNumberFormat="1" applyFont="1" applyBorder="1" applyAlignment="1">
      <alignment horizontal="center" vertical="center"/>
    </xf>
    <xf numFmtId="166" fontId="37" fillId="0" borderId="125" xfId="1" applyNumberFormat="1" applyFont="1" applyBorder="1" applyAlignment="1">
      <alignment horizontal="center" vertical="center"/>
    </xf>
    <xf numFmtId="1" fontId="49" fillId="0" borderId="0" xfId="6" applyNumberFormat="1" applyFont="1"/>
    <xf numFmtId="0" fontId="0" fillId="0" borderId="0" xfId="6" applyFont="1"/>
    <xf numFmtId="168" fontId="0" fillId="0" borderId="0" xfId="5" applyNumberFormat="1" applyFont="1"/>
    <xf numFmtId="0" fontId="8" fillId="0" borderId="0" xfId="6" applyFont="1" applyBorder="1" applyAlignment="1"/>
    <xf numFmtId="166" fontId="37" fillId="0" borderId="0" xfId="1" applyNumberFormat="1" applyFont="1" applyBorder="1" applyAlignment="1"/>
    <xf numFmtId="43" fontId="50" fillId="0" borderId="0" xfId="6" applyNumberFormat="1" applyFont="1"/>
    <xf numFmtId="43" fontId="6" fillId="0" borderId="0" xfId="6" applyNumberFormat="1" applyFont="1" applyAlignment="1"/>
    <xf numFmtId="10" fontId="6" fillId="0" borderId="0" xfId="5" applyNumberFormat="1" applyFont="1" applyAlignment="1"/>
    <xf numFmtId="167" fontId="6" fillId="0" borderId="0" xfId="6" applyNumberFormat="1"/>
    <xf numFmtId="166" fontId="6" fillId="0" borderId="0" xfId="6" applyNumberFormat="1" applyAlignment="1"/>
    <xf numFmtId="166" fontId="8" fillId="0" borderId="0" xfId="6" applyNumberFormat="1" applyFont="1"/>
    <xf numFmtId="0" fontId="6" fillId="0" borderId="0" xfId="6" applyFont="1" applyBorder="1"/>
    <xf numFmtId="0" fontId="6" fillId="0" borderId="0" xfId="6" applyFill="1" applyBorder="1"/>
    <xf numFmtId="0" fontId="6" fillId="0" borderId="0" xfId="6" applyFill="1" applyBorder="1" applyAlignment="1">
      <alignment horizontal="center"/>
    </xf>
    <xf numFmtId="0" fontId="6" fillId="0" borderId="0" xfId="6" applyFill="1" applyBorder="1" applyAlignment="1">
      <alignment horizontal="right"/>
    </xf>
    <xf numFmtId="0" fontId="6" fillId="0" borderId="0" xfId="6" applyFont="1" applyFill="1" applyBorder="1" applyAlignment="1">
      <alignment horizontal="left" wrapText="1"/>
    </xf>
    <xf numFmtId="0" fontId="54" fillId="0" borderId="0" xfId="6" applyFont="1" applyFill="1" applyBorder="1" applyAlignment="1">
      <alignment horizontal="left" wrapText="1"/>
    </xf>
    <xf numFmtId="1" fontId="6" fillId="0" borderId="0" xfId="6" applyNumberFormat="1" applyBorder="1" applyAlignment="1">
      <alignment horizontal="center"/>
    </xf>
    <xf numFmtId="0" fontId="6" fillId="0" borderId="0" xfId="6" applyFont="1" applyBorder="1" applyAlignment="1">
      <alignment horizontal="center"/>
    </xf>
    <xf numFmtId="1" fontId="6" fillId="0" borderId="0" xfId="6" applyNumberFormat="1" applyFont="1" applyBorder="1" applyAlignment="1">
      <alignment horizontal="center"/>
    </xf>
    <xf numFmtId="0" fontId="46" fillId="0" borderId="0" xfId="0" applyFont="1" applyFill="1" applyBorder="1" applyAlignment="1">
      <alignment horizontal="center"/>
    </xf>
    <xf numFmtId="2" fontId="6" fillId="0" borderId="0" xfId="6" applyNumberFormat="1" applyFill="1" applyBorder="1"/>
    <xf numFmtId="0" fontId="46" fillId="0" borderId="0" xfId="0" applyFont="1" applyFill="1" applyBorder="1" applyAlignment="1">
      <alignment horizontal="center" wrapText="1"/>
    </xf>
    <xf numFmtId="166" fontId="6" fillId="0" borderId="0" xfId="6" applyNumberFormat="1" applyFill="1" applyBorder="1"/>
    <xf numFmtId="0" fontId="46" fillId="0" borderId="0" xfId="0" applyFont="1" applyFill="1" applyBorder="1" applyAlignment="1">
      <alignment horizontal="center" vertical="center"/>
    </xf>
    <xf numFmtId="0" fontId="54" fillId="0" borderId="0" xfId="0" applyFont="1" applyFill="1" applyBorder="1" applyAlignment="1">
      <alignment horizontal="center"/>
    </xf>
    <xf numFmtId="1" fontId="6" fillId="0" borderId="0" xfId="6" applyNumberFormat="1" applyFill="1" applyBorder="1"/>
    <xf numFmtId="1" fontId="6" fillId="0" borderId="0" xfId="6" applyNumberFormat="1" applyFont="1" applyFill="1" applyBorder="1"/>
    <xf numFmtId="9" fontId="0" fillId="0" borderId="0" xfId="5" applyFont="1" applyFill="1" applyBorder="1"/>
    <xf numFmtId="168" fontId="0" fillId="0" borderId="0" xfId="5" applyNumberFormat="1" applyFont="1" applyFill="1" applyBorder="1"/>
    <xf numFmtId="0" fontId="0" fillId="0" borderId="0" xfId="5" applyNumberFormat="1" applyFont="1" applyFill="1" applyBorder="1"/>
    <xf numFmtId="0" fontId="51" fillId="0" borderId="0" xfId="6" applyFont="1" applyFill="1" applyBorder="1" applyAlignment="1">
      <alignment vertical="center"/>
    </xf>
    <xf numFmtId="0" fontId="8" fillId="0" borderId="0" xfId="6" applyFont="1" applyFill="1" applyBorder="1" applyAlignment="1"/>
    <xf numFmtId="0" fontId="52" fillId="0" borderId="0" xfId="0" applyFont="1" applyFill="1" applyBorder="1" applyAlignment="1">
      <alignment vertical="center" wrapText="1"/>
    </xf>
    <xf numFmtId="166" fontId="9" fillId="0" borderId="0" xfId="1" applyNumberFormat="1" applyFont="1" applyFill="1" applyBorder="1" applyAlignment="1"/>
    <xf numFmtId="0" fontId="6" fillId="0" borderId="0" xfId="6" applyFont="1" applyFill="1" applyBorder="1" applyAlignment="1"/>
    <xf numFmtId="166" fontId="46" fillId="0" borderId="0" xfId="1" applyNumberFormat="1" applyFont="1" applyFill="1" applyBorder="1" applyAlignment="1"/>
    <xf numFmtId="0" fontId="44" fillId="0" borderId="0" xfId="0" applyFont="1" applyFill="1" applyBorder="1" applyAlignment="1">
      <alignment vertical="center" wrapText="1"/>
    </xf>
    <xf numFmtId="168" fontId="9" fillId="0" borderId="0" xfId="5" applyNumberFormat="1" applyFont="1" applyFill="1" applyBorder="1" applyAlignment="1"/>
    <xf numFmtId="1" fontId="46" fillId="0" borderId="0" xfId="6" applyNumberFormat="1" applyFont="1" applyFill="1" applyBorder="1" applyAlignment="1"/>
    <xf numFmtId="9" fontId="9" fillId="0" borderId="0" xfId="5" applyFont="1" applyFill="1" applyBorder="1" applyAlignment="1"/>
  </cellXfs>
  <cellStyles count="18">
    <cellStyle name="Comma" xfId="1" builtinId="3"/>
    <cellStyle name="Comma 2" xfId="10"/>
    <cellStyle name="Normal" xfId="0" builtinId="0"/>
    <cellStyle name="Normal 10" xfId="15"/>
    <cellStyle name="Normal 12 2" xfId="6"/>
    <cellStyle name="Normal 13 2" xfId="12"/>
    <cellStyle name="Normal 13 3 2" xfId="11"/>
    <cellStyle name="Normal 13 3 4 2" xfId="9"/>
    <cellStyle name="Normal 17 15" xfId="7"/>
    <cellStyle name="Normal 2 2" xfId="3"/>
    <cellStyle name="Normal 2 2 2 2 2" xfId="8"/>
    <cellStyle name="Normal 2 3 2" xfId="13"/>
    <cellStyle name="Normal 2 3 2 2" xfId="14"/>
    <cellStyle name="Normal 3 2 3" xfId="17"/>
    <cellStyle name="Normal 5" xfId="16"/>
    <cellStyle name="Percent" xfId="2" builtinId="5"/>
    <cellStyle name="Percent 10" xfId="4"/>
    <cellStyle name="Percent 2 2" xfId="5"/>
  </cellStyles>
  <dxfs count="12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00B05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00B050"/>
      </font>
      <fill>
        <patternFill>
          <bgColor theme="0"/>
        </patternFill>
      </fill>
    </dxf>
    <dxf>
      <font>
        <color rgb="FFFF0000"/>
      </font>
    </dxf>
    <dxf>
      <font>
        <color rgb="FF00B050"/>
      </font>
    </dxf>
    <dxf>
      <font>
        <color theme="9" tint="-0.24994659260841701"/>
      </font>
    </dxf>
    <dxf>
      <font>
        <color rgb="FFFF0000"/>
      </font>
    </dxf>
    <dxf>
      <font>
        <color rgb="FF00B050"/>
      </font>
    </dxf>
    <dxf>
      <font>
        <color theme="9" tint="-0.24994659260841701"/>
      </font>
    </dxf>
    <dxf>
      <font>
        <color rgb="FFFF0000"/>
      </font>
    </dxf>
    <dxf>
      <font>
        <color rgb="FF00B050"/>
      </font>
      <fill>
        <patternFill>
          <bgColor theme="0"/>
        </patternFill>
      </fill>
    </dxf>
    <dxf>
      <font>
        <color rgb="FFFF0000"/>
      </font>
    </dxf>
    <dxf>
      <font>
        <color rgb="FF00B050"/>
      </font>
    </dxf>
    <dxf>
      <font>
        <color theme="9" tint="-0.24994659260841701"/>
      </font>
    </dxf>
    <dxf>
      <font>
        <color rgb="FFFF0000"/>
      </font>
    </dxf>
    <dxf>
      <font>
        <color rgb="FF00B050"/>
      </font>
    </dxf>
    <dxf>
      <font>
        <color theme="9" tint="-0.24994659260841701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00B050"/>
      </font>
      <fill>
        <patternFill>
          <bgColor theme="0"/>
        </patternFill>
      </fill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theme="9" tint="-0.24994659260841701"/>
      </font>
    </dxf>
    <dxf>
      <font>
        <color rgb="FFFF0000"/>
      </font>
    </dxf>
    <dxf>
      <font>
        <color rgb="FF00B050"/>
      </font>
    </dxf>
    <dxf>
      <font>
        <color theme="9" tint="-0.24994659260841701"/>
      </font>
    </dxf>
    <dxf>
      <font>
        <color rgb="FFFF0000"/>
      </font>
    </dxf>
    <dxf>
      <font>
        <color rgb="FF00B050"/>
      </font>
    </dxf>
    <dxf>
      <font>
        <color theme="9" tint="-0.24994659260841701"/>
      </font>
    </dxf>
    <dxf>
      <font>
        <color rgb="FFFF0000"/>
      </font>
    </dxf>
    <dxf>
      <font>
        <color rgb="FF00B050"/>
      </font>
    </dxf>
    <dxf>
      <font>
        <color theme="9" tint="-0.24994659260841701"/>
      </font>
    </dxf>
    <dxf>
      <font>
        <color rgb="FFFF0000"/>
      </font>
    </dxf>
    <dxf>
      <font>
        <color rgb="FF00B050"/>
      </font>
    </dxf>
    <dxf>
      <font>
        <color theme="9" tint="-0.24994659260841701"/>
      </font>
    </dxf>
    <dxf>
      <font>
        <color rgb="FFFF0000"/>
      </font>
    </dxf>
    <dxf>
      <font>
        <color rgb="FF00B050"/>
      </font>
    </dxf>
    <dxf>
      <font>
        <color theme="9" tint="-0.24994659260841701"/>
      </font>
    </dxf>
    <dxf>
      <font>
        <color rgb="FFFF0000"/>
      </font>
    </dxf>
    <dxf>
      <font>
        <color rgb="FF00B050"/>
      </font>
    </dxf>
    <dxf>
      <font>
        <color theme="9" tint="-0.24994659260841701"/>
      </font>
    </dxf>
    <dxf>
      <font>
        <color rgb="FFFF0000"/>
      </font>
    </dxf>
    <dxf>
      <font>
        <color rgb="FF00B050"/>
      </font>
    </dxf>
    <dxf>
      <font>
        <color theme="9" tint="-0.24994659260841701"/>
      </font>
    </dxf>
    <dxf>
      <font>
        <color rgb="FFFF0000"/>
      </font>
    </dxf>
    <dxf>
      <font>
        <color rgb="FF00B050"/>
      </font>
    </dxf>
    <dxf>
      <font>
        <color theme="9" tint="-0.24994659260841701"/>
      </font>
    </dxf>
    <dxf>
      <font>
        <color rgb="FFFF0000"/>
      </font>
    </dxf>
    <dxf>
      <font>
        <color rgb="FF00B050"/>
      </font>
    </dxf>
    <dxf>
      <font>
        <color theme="9" tint="-0.24994659260841701"/>
      </font>
    </dxf>
    <dxf>
      <font>
        <color rgb="FFFF0000"/>
      </font>
    </dxf>
    <dxf>
      <font>
        <color rgb="FF00B050"/>
      </font>
    </dxf>
    <dxf>
      <font>
        <color theme="9" tint="-0.24994659260841701"/>
      </font>
    </dxf>
    <dxf>
      <font>
        <color rgb="FFFF0000"/>
      </font>
    </dxf>
    <dxf>
      <font>
        <color rgb="FF00B050"/>
      </font>
    </dxf>
    <dxf>
      <font>
        <color theme="9" tint="-0.24994659260841701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color rgb="FF00B050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FF0000"/>
      </font>
    </dxf>
    <dxf>
      <font>
        <color rgb="FF00B050"/>
      </font>
    </dxf>
    <dxf>
      <font>
        <b/>
        <i val="0"/>
        <color rgb="FF00B050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%20Drive/Busines%202024/2026/TGloss%202026/TGloss%20Penetration-Oct%2020th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ppon/Downloads/Revenue%20streams%2020th%20Oct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 31"/>
      <sheetName val="Feb 28"/>
      <sheetName val="Mar 31"/>
      <sheetName val="Apr 30"/>
      <sheetName val="May 30"/>
      <sheetName val="Jun 30"/>
      <sheetName val="July 31"/>
      <sheetName val="Aug 31"/>
      <sheetName val="Sep 30"/>
      <sheetName val="Oct 20"/>
      <sheetName val="Sheet1"/>
      <sheetName val="Apr 2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">
          <cell r="A3" t="str">
            <v>TR01A</v>
          </cell>
          <cell r="B3">
            <v>867</v>
          </cell>
          <cell r="C3">
            <v>343</v>
          </cell>
          <cell r="D3">
            <v>0.39561707035755478</v>
          </cell>
          <cell r="E3">
            <v>0.38</v>
          </cell>
          <cell r="F3">
            <v>461</v>
          </cell>
          <cell r="G3">
            <v>0.53171856978085352</v>
          </cell>
          <cell r="H3">
            <v>0.38</v>
          </cell>
          <cell r="I3">
            <v>329.46</v>
          </cell>
          <cell r="J3">
            <v>329.46</v>
          </cell>
          <cell r="K3">
            <v>1046402.7543103452</v>
          </cell>
          <cell r="L3">
            <v>485524.53999999992</v>
          </cell>
          <cell r="M3">
            <v>0.46399394305875619</v>
          </cell>
        </row>
        <row r="4">
          <cell r="A4" t="str">
            <v>TR01B</v>
          </cell>
          <cell r="B4">
            <v>0</v>
          </cell>
          <cell r="C4">
            <v>8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0.38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</row>
        <row r="5">
          <cell r="A5" t="str">
            <v>TR01C</v>
          </cell>
          <cell r="B5">
            <v>848</v>
          </cell>
          <cell r="C5">
            <v>295</v>
          </cell>
          <cell r="D5">
            <v>0.34787735849056606</v>
          </cell>
          <cell r="E5">
            <v>0.38</v>
          </cell>
          <cell r="F5">
            <v>421</v>
          </cell>
          <cell r="G5">
            <v>0.49646226415094341</v>
          </cell>
          <cell r="H5">
            <v>0.38</v>
          </cell>
          <cell r="I5">
            <v>322.24</v>
          </cell>
          <cell r="J5">
            <v>322.24</v>
          </cell>
          <cell r="K5">
            <v>1006646.7672413792</v>
          </cell>
          <cell r="L5">
            <v>11433.08</v>
          </cell>
          <cell r="M5">
            <v>1.1357588751147812E-2</v>
          </cell>
        </row>
        <row r="6">
          <cell r="A6" t="str">
            <v>KL01A</v>
          </cell>
          <cell r="B6">
            <v>738</v>
          </cell>
          <cell r="C6">
            <v>350</v>
          </cell>
          <cell r="D6">
            <v>0.4742547425474255</v>
          </cell>
          <cell r="E6">
            <v>0.38</v>
          </cell>
          <cell r="F6">
            <v>435</v>
          </cell>
          <cell r="G6">
            <v>0.58943089430894313</v>
          </cell>
          <cell r="H6">
            <v>0.38</v>
          </cell>
          <cell r="I6">
            <v>280.44</v>
          </cell>
          <cell r="J6">
            <v>280.44</v>
          </cell>
          <cell r="K6">
            <v>1038492.5431034482</v>
          </cell>
          <cell r="L6">
            <v>362441.46</v>
          </cell>
          <cell r="M6">
            <v>0.34900728214848226</v>
          </cell>
        </row>
        <row r="7">
          <cell r="A7" t="str">
            <v>KL01B</v>
          </cell>
          <cell r="B7">
            <v>0</v>
          </cell>
          <cell r="C7">
            <v>8</v>
          </cell>
          <cell r="D7">
            <v>0</v>
          </cell>
          <cell r="E7">
            <v>0.38</v>
          </cell>
          <cell r="F7">
            <v>0</v>
          </cell>
          <cell r="G7">
            <v>0</v>
          </cell>
          <cell r="H7">
            <v>0.38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</row>
        <row r="8">
          <cell r="A8" t="str">
            <v>PH01A</v>
          </cell>
          <cell r="B8">
            <v>626</v>
          </cell>
          <cell r="C8">
            <v>283</v>
          </cell>
          <cell r="D8">
            <v>0.45207667731629392</v>
          </cell>
          <cell r="E8">
            <v>0.38</v>
          </cell>
          <cell r="F8">
            <v>343</v>
          </cell>
          <cell r="G8">
            <v>0.54792332268370603</v>
          </cell>
          <cell r="H8">
            <v>0.38</v>
          </cell>
          <cell r="I8">
            <v>237.88</v>
          </cell>
          <cell r="J8">
            <v>237.88</v>
          </cell>
          <cell r="K8">
            <v>818317.03448275873</v>
          </cell>
          <cell r="L8">
            <v>490384.93999999989</v>
          </cell>
          <cell r="M8">
            <v>0.59926033473073437</v>
          </cell>
        </row>
        <row r="9">
          <cell r="A9" t="str">
            <v>South</v>
          </cell>
          <cell r="B9">
            <v>3079</v>
          </cell>
          <cell r="C9">
            <v>1287</v>
          </cell>
          <cell r="D9">
            <v>0.41799285482299448</v>
          </cell>
          <cell r="E9">
            <v>0.38</v>
          </cell>
          <cell r="F9">
            <v>1660</v>
          </cell>
          <cell r="G9">
            <v>0.53913608314387784</v>
          </cell>
          <cell r="H9">
            <v>0.38</v>
          </cell>
          <cell r="I9">
            <v>1170.02</v>
          </cell>
          <cell r="J9">
            <v>1170.02</v>
          </cell>
          <cell r="K9">
            <v>3909859.0991379311</v>
          </cell>
          <cell r="L9">
            <v>1349784.0199999998</v>
          </cell>
          <cell r="M9">
            <v>0.34522574491178165</v>
          </cell>
        </row>
        <row r="10">
          <cell r="A10" t="str">
            <v>KY01A</v>
          </cell>
          <cell r="B10">
            <v>595</v>
          </cell>
          <cell r="C10">
            <v>275</v>
          </cell>
          <cell r="D10">
            <v>0.46218487394957986</v>
          </cell>
          <cell r="E10">
            <v>0.38</v>
          </cell>
          <cell r="F10">
            <v>351</v>
          </cell>
          <cell r="G10">
            <v>0.58991596638655464</v>
          </cell>
          <cell r="H10">
            <v>0.38</v>
          </cell>
          <cell r="I10">
            <v>226.1</v>
          </cell>
          <cell r="J10">
            <v>226.1</v>
          </cell>
          <cell r="K10">
            <v>744519.19396551745</v>
          </cell>
          <cell r="L10">
            <v>230714.91</v>
          </cell>
          <cell r="M10">
            <v>0.30988443531072429</v>
          </cell>
        </row>
        <row r="11">
          <cell r="A11" t="str">
            <v>CO01A</v>
          </cell>
          <cell r="B11">
            <v>1085</v>
          </cell>
          <cell r="C11">
            <v>522</v>
          </cell>
          <cell r="D11">
            <v>0.48110599078341015</v>
          </cell>
          <cell r="E11">
            <v>0.38</v>
          </cell>
          <cell r="F11">
            <v>679</v>
          </cell>
          <cell r="G11">
            <v>0.62580645161290327</v>
          </cell>
          <cell r="H11">
            <v>0.38</v>
          </cell>
          <cell r="I11">
            <v>412.3</v>
          </cell>
          <cell r="J11">
            <v>412.3</v>
          </cell>
          <cell r="K11">
            <v>1214403.6594827583</v>
          </cell>
          <cell r="L11">
            <v>611593.84999999986</v>
          </cell>
          <cell r="M11">
            <v>0.50361660657420237</v>
          </cell>
        </row>
        <row r="12">
          <cell r="A12" t="str">
            <v>MV01A</v>
          </cell>
          <cell r="B12">
            <v>822</v>
          </cell>
          <cell r="C12">
            <v>357</v>
          </cell>
          <cell r="D12">
            <v>0.43430656934306572</v>
          </cell>
          <cell r="E12">
            <v>0.38</v>
          </cell>
          <cell r="F12">
            <v>498</v>
          </cell>
          <cell r="G12">
            <v>0.6058394160583942</v>
          </cell>
          <cell r="H12">
            <v>0.38</v>
          </cell>
          <cell r="I12">
            <v>312.36</v>
          </cell>
          <cell r="J12">
            <v>312.36</v>
          </cell>
          <cell r="K12">
            <v>974090.09482758644</v>
          </cell>
          <cell r="L12">
            <v>74214.38</v>
          </cell>
          <cell r="M12">
            <v>7.6188414597456636E-2</v>
          </cell>
        </row>
        <row r="13">
          <cell r="A13" t="str">
            <v>CO01B</v>
          </cell>
          <cell r="B13">
            <v>1620</v>
          </cell>
          <cell r="C13">
            <v>785</v>
          </cell>
          <cell r="D13">
            <v>0.48456790123456789</v>
          </cell>
          <cell r="E13">
            <v>0.38</v>
          </cell>
          <cell r="F13">
            <v>998</v>
          </cell>
          <cell r="G13">
            <v>0.61604938271604937</v>
          </cell>
          <cell r="H13">
            <v>0.38</v>
          </cell>
          <cell r="I13">
            <v>615.6</v>
          </cell>
          <cell r="J13">
            <v>615.6</v>
          </cell>
          <cell r="K13">
            <v>1878987.1551724139</v>
          </cell>
          <cell r="L13">
            <v>0</v>
          </cell>
          <cell r="M13">
            <v>0</v>
          </cell>
        </row>
        <row r="14">
          <cell r="A14" t="str">
            <v>Central</v>
          </cell>
          <cell r="B14">
            <v>4122</v>
          </cell>
          <cell r="C14">
            <v>1939</v>
          </cell>
          <cell r="D14">
            <v>0.47040271712760795</v>
          </cell>
          <cell r="E14">
            <v>0.37999999999999995</v>
          </cell>
          <cell r="F14">
            <v>2526</v>
          </cell>
          <cell r="G14">
            <v>0.61280931586608445</v>
          </cell>
          <cell r="H14">
            <v>0.37999999999999995</v>
          </cell>
          <cell r="I14">
            <v>1566.3600000000001</v>
          </cell>
          <cell r="J14">
            <v>1566.3600000000001</v>
          </cell>
          <cell r="K14">
            <v>4812000.1034482764</v>
          </cell>
          <cell r="L14">
            <v>916523.1399999999</v>
          </cell>
          <cell r="M14">
            <v>0.19046615135008413</v>
          </cell>
        </row>
        <row r="15">
          <cell r="A15" t="str">
            <v>KT01A</v>
          </cell>
          <cell r="B15">
            <v>980</v>
          </cell>
          <cell r="C15">
            <v>350</v>
          </cell>
          <cell r="D15">
            <v>0.35714285714285715</v>
          </cell>
          <cell r="E15">
            <v>0.38</v>
          </cell>
          <cell r="F15">
            <v>556</v>
          </cell>
          <cell r="G15">
            <v>0.56734693877551023</v>
          </cell>
          <cell r="H15">
            <v>0.38</v>
          </cell>
          <cell r="I15">
            <v>372.4</v>
          </cell>
          <cell r="J15">
            <v>372.4</v>
          </cell>
          <cell r="K15">
            <v>1185065.6379310347</v>
          </cell>
          <cell r="L15">
            <v>535224.0900000002</v>
          </cell>
          <cell r="M15">
            <v>0.45164088204804381</v>
          </cell>
        </row>
        <row r="16">
          <cell r="A16" t="str">
            <v>KT01B</v>
          </cell>
          <cell r="B16">
            <v>755</v>
          </cell>
          <cell r="C16">
            <v>266</v>
          </cell>
          <cell r="D16">
            <v>0.352317880794702</v>
          </cell>
          <cell r="E16">
            <v>0.38</v>
          </cell>
          <cell r="F16">
            <v>421</v>
          </cell>
          <cell r="G16">
            <v>0.5576158940397351</v>
          </cell>
          <cell r="H16">
            <v>0.38</v>
          </cell>
          <cell r="I16">
            <v>286.89999999999998</v>
          </cell>
          <cell r="J16">
            <v>286.89999999999998</v>
          </cell>
          <cell r="K16">
            <v>645775.86206896557</v>
          </cell>
          <cell r="L16">
            <v>587176.90000000026</v>
          </cell>
          <cell r="M16">
            <v>0.90925804832465662</v>
          </cell>
        </row>
        <row r="17">
          <cell r="A17" t="str">
            <v>TL01A</v>
          </cell>
          <cell r="B17">
            <v>592</v>
          </cell>
          <cell r="C17">
            <v>257</v>
          </cell>
          <cell r="D17">
            <v>0.4341216216216216</v>
          </cell>
          <cell r="E17">
            <v>0.38</v>
          </cell>
          <cell r="F17">
            <v>323</v>
          </cell>
          <cell r="G17">
            <v>0.54560810810810811</v>
          </cell>
          <cell r="H17">
            <v>0.38</v>
          </cell>
          <cell r="I17">
            <v>224.96</v>
          </cell>
          <cell r="J17">
            <v>224.96</v>
          </cell>
          <cell r="K17">
            <v>649445.25</v>
          </cell>
          <cell r="L17">
            <v>492394.10999999993</v>
          </cell>
          <cell r="M17">
            <v>0.75817647446031811</v>
          </cell>
        </row>
        <row r="18">
          <cell r="A18" t="str">
            <v>TI01A</v>
          </cell>
          <cell r="B18">
            <v>853</v>
          </cell>
          <cell r="C18">
            <v>354</v>
          </cell>
          <cell r="D18">
            <v>0.41500586166471276</v>
          </cell>
          <cell r="E18">
            <v>0.38</v>
          </cell>
          <cell r="F18">
            <v>463</v>
          </cell>
          <cell r="G18">
            <v>0.54279015240328254</v>
          </cell>
          <cell r="H18">
            <v>0.38</v>
          </cell>
          <cell r="I18">
            <v>324.14</v>
          </cell>
          <cell r="J18">
            <v>324.14</v>
          </cell>
          <cell r="K18">
            <v>1060529.9224137932</v>
          </cell>
          <cell r="L18">
            <v>1046363.82</v>
          </cell>
          <cell r="M18">
            <v>0.98664243024699316</v>
          </cell>
        </row>
        <row r="19">
          <cell r="A19" t="str">
            <v>TI01B</v>
          </cell>
          <cell r="B19">
            <v>394</v>
          </cell>
          <cell r="C19">
            <v>241</v>
          </cell>
          <cell r="D19">
            <v>0.6116751269035533</v>
          </cell>
          <cell r="E19">
            <v>0.38</v>
          </cell>
          <cell r="F19">
            <v>281</v>
          </cell>
          <cell r="G19">
            <v>0.71319796954314718</v>
          </cell>
          <cell r="H19">
            <v>0.38</v>
          </cell>
          <cell r="I19">
            <v>149.72</v>
          </cell>
          <cell r="J19">
            <v>149.72</v>
          </cell>
          <cell r="K19">
            <v>421221.9827586207</v>
          </cell>
          <cell r="L19">
            <v>176253.99</v>
          </cell>
          <cell r="M19">
            <v>0.41843492793442721</v>
          </cell>
        </row>
        <row r="20">
          <cell r="A20" t="str">
            <v>TI01C</v>
          </cell>
          <cell r="B20">
            <v>400</v>
          </cell>
          <cell r="C20">
            <v>198</v>
          </cell>
          <cell r="D20">
            <v>0.495</v>
          </cell>
          <cell r="E20">
            <v>0.38</v>
          </cell>
          <cell r="F20">
            <v>236</v>
          </cell>
          <cell r="G20">
            <v>0.59</v>
          </cell>
          <cell r="H20">
            <v>0.38</v>
          </cell>
          <cell r="I20">
            <v>152</v>
          </cell>
          <cell r="J20">
            <v>152</v>
          </cell>
          <cell r="K20">
            <v>315476.18534482765</v>
          </cell>
          <cell r="L20">
            <v>230909.8</v>
          </cell>
          <cell r="M20">
            <v>0.73194051001855076</v>
          </cell>
        </row>
        <row r="21">
          <cell r="A21" t="str">
            <v>IR01A</v>
          </cell>
          <cell r="B21">
            <v>595</v>
          </cell>
          <cell r="C21">
            <v>254</v>
          </cell>
          <cell r="D21">
            <v>0.42689075630252099</v>
          </cell>
          <cell r="E21">
            <v>0.38</v>
          </cell>
          <cell r="F21">
            <v>303</v>
          </cell>
          <cell r="G21">
            <v>0.50924369747899156</v>
          </cell>
          <cell r="H21">
            <v>0.38</v>
          </cell>
          <cell r="I21">
            <v>226.1</v>
          </cell>
          <cell r="J21">
            <v>226.1</v>
          </cell>
          <cell r="K21">
            <v>632257.23501400871</v>
          </cell>
          <cell r="L21">
            <v>379716.66</v>
          </cell>
          <cell r="M21">
            <v>0.60057305629976176</v>
          </cell>
        </row>
        <row r="22">
          <cell r="A22" t="str">
            <v>North</v>
          </cell>
          <cell r="B22">
            <v>4569</v>
          </cell>
          <cell r="C22">
            <v>1920</v>
          </cell>
          <cell r="D22">
            <v>0.42022324359816154</v>
          </cell>
          <cell r="E22">
            <v>0.38</v>
          </cell>
          <cell r="F22">
            <v>2583</v>
          </cell>
          <cell r="G22">
            <v>0.56533158240315162</v>
          </cell>
          <cell r="H22">
            <v>0.38</v>
          </cell>
          <cell r="I22">
            <v>1736.22</v>
          </cell>
          <cell r="J22">
            <v>1736.22</v>
          </cell>
          <cell r="K22">
            <v>4909772.0755312499</v>
          </cell>
          <cell r="L22">
            <v>3448039.37</v>
          </cell>
          <cell r="M22">
            <v>0.70228094440145949</v>
          </cell>
        </row>
        <row r="23">
          <cell r="A23" t="str">
            <v>GR034</v>
          </cell>
          <cell r="B23">
            <v>11770</v>
          </cell>
          <cell r="C23">
            <v>5146</v>
          </cell>
          <cell r="D23">
            <v>0.43721325403568395</v>
          </cell>
          <cell r="E23">
            <v>0.37999999999999995</v>
          </cell>
          <cell r="F23">
            <v>6769</v>
          </cell>
          <cell r="G23">
            <v>0.57510620220900599</v>
          </cell>
          <cell r="H23">
            <v>0.37999999999999995</v>
          </cell>
          <cell r="I23">
            <v>4472.6000000000004</v>
          </cell>
          <cell r="J23">
            <v>4472.6000000000004</v>
          </cell>
          <cell r="K23">
            <v>13631631.278117457</v>
          </cell>
          <cell r="L23">
            <v>5714346.5299999993</v>
          </cell>
          <cell r="M23">
            <v>0.41919755702115474</v>
          </cell>
        </row>
      </sheetData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 31"/>
      <sheetName val="Feb 28"/>
      <sheetName val="Mar 31"/>
      <sheetName val="Apr 30"/>
      <sheetName val="May 30"/>
      <sheetName val="Jun 30"/>
      <sheetName val="Jul 31"/>
      <sheetName val="Aug 31"/>
      <sheetName val="Sep 30 "/>
      <sheetName val="Oct 01"/>
      <sheetName val="Oct 03 "/>
      <sheetName val="Oct 05"/>
      <sheetName val="Oct 06"/>
      <sheetName val="Oct 07"/>
      <sheetName val="Oct 08"/>
      <sheetName val="Oct 09"/>
      <sheetName val="Oct 10"/>
      <sheetName val="Oct 12"/>
      <sheetName val="Oct 13"/>
      <sheetName val="Oct 14"/>
      <sheetName val="Oct 15"/>
      <sheetName val="Oct 16"/>
      <sheetName val="Oct 17"/>
      <sheetName val="Oct 19"/>
      <sheetName val="Oct 20"/>
      <sheetName val="Sheet1"/>
      <sheetName val="AfterSale V 1.1"/>
      <sheetName val="AfterSale V 1.0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2">
          <cell r="A2">
            <v>46315</v>
          </cell>
          <cell r="B2">
            <v>43455</v>
          </cell>
          <cell r="C2">
            <v>43455</v>
          </cell>
        </row>
        <row r="3">
          <cell r="D3">
            <v>82</v>
          </cell>
          <cell r="E3">
            <v>85</v>
          </cell>
          <cell r="G3">
            <v>55</v>
          </cell>
          <cell r="H3">
            <v>31</v>
          </cell>
          <cell r="K3">
            <v>48</v>
          </cell>
          <cell r="L3">
            <v>0</v>
          </cell>
          <cell r="M3">
            <v>60</v>
          </cell>
          <cell r="N3">
            <v>41</v>
          </cell>
          <cell r="O3">
            <v>0</v>
          </cell>
          <cell r="P3">
            <v>34</v>
          </cell>
          <cell r="S3">
            <v>35</v>
          </cell>
          <cell r="T3">
            <v>49</v>
          </cell>
          <cell r="U3">
            <v>46</v>
          </cell>
          <cell r="V3">
            <v>66</v>
          </cell>
          <cell r="W3">
            <v>44</v>
          </cell>
          <cell r="X3">
            <v>18</v>
          </cell>
          <cell r="Y3">
            <v>22</v>
          </cell>
        </row>
        <row r="4">
          <cell r="D4">
            <v>1130</v>
          </cell>
          <cell r="E4">
            <v>1787</v>
          </cell>
          <cell r="G4">
            <v>826</v>
          </cell>
          <cell r="H4">
            <v>597</v>
          </cell>
          <cell r="K4">
            <v>918</v>
          </cell>
          <cell r="L4">
            <v>0</v>
          </cell>
          <cell r="M4">
            <v>848</v>
          </cell>
          <cell r="N4">
            <v>738</v>
          </cell>
          <cell r="O4">
            <v>0</v>
          </cell>
          <cell r="P4">
            <v>627</v>
          </cell>
          <cell r="S4">
            <v>592</v>
          </cell>
          <cell r="T4">
            <v>983</v>
          </cell>
          <cell r="U4">
            <v>755</v>
          </cell>
          <cell r="V4">
            <v>855</v>
          </cell>
          <cell r="W4">
            <v>595</v>
          </cell>
          <cell r="X4">
            <v>394</v>
          </cell>
          <cell r="Y4">
            <v>400</v>
          </cell>
        </row>
        <row r="5">
          <cell r="D5">
            <v>9878867.5399999991</v>
          </cell>
          <cell r="E5">
            <v>14733137.569999998</v>
          </cell>
          <cell r="G5">
            <v>6134744.1600000001</v>
          </cell>
          <cell r="H5">
            <v>5613918</v>
          </cell>
          <cell r="K5">
            <v>6177252</v>
          </cell>
          <cell r="L5">
            <v>0</v>
          </cell>
          <cell r="M5">
            <v>5914070</v>
          </cell>
          <cell r="N5">
            <v>5417818.21</v>
          </cell>
          <cell r="O5">
            <v>0</v>
          </cell>
          <cell r="P5">
            <v>4519803</v>
          </cell>
          <cell r="S5">
            <v>4011258.41</v>
          </cell>
          <cell r="T5">
            <v>6361940.9000000004</v>
          </cell>
          <cell r="U5">
            <v>5564800.7999999998</v>
          </cell>
          <cell r="V5">
            <v>6069304</v>
          </cell>
          <cell r="W5">
            <v>3600061</v>
          </cell>
          <cell r="X5">
            <v>3170802</v>
          </cell>
          <cell r="Y5">
            <v>3603586</v>
          </cell>
        </row>
        <row r="6">
          <cell r="D6">
            <v>5026845.43</v>
          </cell>
          <cell r="E6">
            <v>6991468.7299999995</v>
          </cell>
          <cell r="G6">
            <v>3307133.8</v>
          </cell>
          <cell r="H6">
            <v>2591301</v>
          </cell>
          <cell r="K6">
            <v>2980879</v>
          </cell>
          <cell r="L6">
            <v>0</v>
          </cell>
          <cell r="M6">
            <v>2813434</v>
          </cell>
          <cell r="N6">
            <v>2638909.1</v>
          </cell>
          <cell r="O6">
            <v>0</v>
          </cell>
          <cell r="P6">
            <v>1929260</v>
          </cell>
          <cell r="S6">
            <v>2207899.66</v>
          </cell>
          <cell r="T6">
            <v>3412287.12</v>
          </cell>
          <cell r="U6">
            <v>2697544.04</v>
          </cell>
          <cell r="V6">
            <v>3188130</v>
          </cell>
          <cell r="W6">
            <v>1823489</v>
          </cell>
          <cell r="X6">
            <v>1823595</v>
          </cell>
          <cell r="Y6">
            <v>1615823.1</v>
          </cell>
        </row>
        <row r="8">
          <cell r="D8">
            <v>22</v>
          </cell>
          <cell r="E8">
            <v>19</v>
          </cell>
          <cell r="F8">
            <v>9</v>
          </cell>
          <cell r="G8">
            <v>17</v>
          </cell>
          <cell r="H8">
            <v>17</v>
          </cell>
          <cell r="K8">
            <v>6</v>
          </cell>
          <cell r="L8">
            <v>10</v>
          </cell>
          <cell r="M8">
            <v>12</v>
          </cell>
          <cell r="N8">
            <v>6</v>
          </cell>
          <cell r="O8">
            <v>6</v>
          </cell>
          <cell r="P8">
            <v>12</v>
          </cell>
          <cell r="S8">
            <v>6</v>
          </cell>
          <cell r="T8">
            <v>21</v>
          </cell>
          <cell r="U8">
            <v>9</v>
          </cell>
          <cell r="V8">
            <v>10</v>
          </cell>
          <cell r="W8">
            <v>9</v>
          </cell>
          <cell r="X8">
            <v>3</v>
          </cell>
          <cell r="Y8">
            <v>8</v>
          </cell>
        </row>
        <row r="9">
          <cell r="D9">
            <v>311</v>
          </cell>
          <cell r="E9">
            <v>316</v>
          </cell>
          <cell r="F9">
            <v>160</v>
          </cell>
          <cell r="G9">
            <v>240</v>
          </cell>
          <cell r="H9">
            <v>197</v>
          </cell>
          <cell r="K9">
            <v>173</v>
          </cell>
          <cell r="L9">
            <v>83</v>
          </cell>
          <cell r="M9">
            <v>204</v>
          </cell>
          <cell r="N9">
            <v>128</v>
          </cell>
          <cell r="O9">
            <v>105</v>
          </cell>
          <cell r="P9">
            <v>143</v>
          </cell>
          <cell r="S9">
            <v>129</v>
          </cell>
          <cell r="T9">
            <v>268</v>
          </cell>
          <cell r="U9">
            <v>137</v>
          </cell>
          <cell r="V9">
            <v>252</v>
          </cell>
          <cell r="W9">
            <v>121</v>
          </cell>
          <cell r="X9">
            <v>75</v>
          </cell>
          <cell r="Y9">
            <v>86</v>
          </cell>
        </row>
        <row r="10">
          <cell r="D10">
            <v>4716425.12</v>
          </cell>
          <cell r="E10">
            <v>1132613.26</v>
          </cell>
          <cell r="F10">
            <v>7967611.9000000004</v>
          </cell>
          <cell r="G10">
            <v>3854353.05</v>
          </cell>
          <cell r="H10">
            <v>3069696</v>
          </cell>
          <cell r="K10">
            <v>883327</v>
          </cell>
          <cell r="L10">
            <v>3907224.02</v>
          </cell>
          <cell r="M10">
            <v>1663709</v>
          </cell>
          <cell r="N10">
            <v>369056.43</v>
          </cell>
          <cell r="O10">
            <v>3377229.78</v>
          </cell>
          <cell r="P10">
            <v>1712560.31</v>
          </cell>
          <cell r="S10">
            <v>1522859.59</v>
          </cell>
          <cell r="T10">
            <v>3233341.87</v>
          </cell>
          <cell r="U10">
            <v>2870337.17</v>
          </cell>
          <cell r="V10">
            <v>2315367</v>
          </cell>
          <cell r="W10">
            <v>1284108</v>
          </cell>
          <cell r="X10">
            <v>986631</v>
          </cell>
          <cell r="Y10">
            <v>792512</v>
          </cell>
        </row>
        <row r="11">
          <cell r="D11">
            <v>2291339.64</v>
          </cell>
          <cell r="E11">
            <v>556470.23</v>
          </cell>
          <cell r="F11">
            <v>3026344.86</v>
          </cell>
          <cell r="G11">
            <v>1836759.2</v>
          </cell>
          <cell r="H11">
            <v>969070</v>
          </cell>
          <cell r="K11">
            <v>634407</v>
          </cell>
          <cell r="L11">
            <v>1164513.6399999999</v>
          </cell>
          <cell r="M11">
            <v>918478</v>
          </cell>
          <cell r="N11">
            <v>250636.5</v>
          </cell>
          <cell r="O11">
            <v>1299662</v>
          </cell>
          <cell r="P11">
            <v>999882.67</v>
          </cell>
          <cell r="S11">
            <v>697919.1</v>
          </cell>
          <cell r="T11">
            <v>1354254.32</v>
          </cell>
          <cell r="U11">
            <v>896177.16</v>
          </cell>
          <cell r="V11">
            <v>1411524</v>
          </cell>
          <cell r="W11">
            <v>775293</v>
          </cell>
          <cell r="X11">
            <v>581010</v>
          </cell>
          <cell r="Y11">
            <v>291810</v>
          </cell>
        </row>
        <row r="13">
          <cell r="D13">
            <v>1255382</v>
          </cell>
          <cell r="E13">
            <v>716268.67</v>
          </cell>
          <cell r="G13">
            <v>202719</v>
          </cell>
          <cell r="H13">
            <v>276262</v>
          </cell>
          <cell r="K13">
            <v>606880</v>
          </cell>
          <cell r="L13">
            <v>150616.06</v>
          </cell>
          <cell r="M13">
            <v>1016676</v>
          </cell>
          <cell r="N13">
            <v>366421</v>
          </cell>
          <cell r="O13">
            <v>35982</v>
          </cell>
          <cell r="P13">
            <v>94155</v>
          </cell>
          <cell r="S13">
            <v>352371</v>
          </cell>
          <cell r="T13">
            <v>481150</v>
          </cell>
          <cell r="U13">
            <v>331262</v>
          </cell>
          <cell r="V13">
            <v>395874</v>
          </cell>
          <cell r="W13">
            <v>80047</v>
          </cell>
          <cell r="X13">
            <v>63960</v>
          </cell>
          <cell r="Y13">
            <v>91290</v>
          </cell>
        </row>
        <row r="17">
          <cell r="A17">
            <v>46285</v>
          </cell>
          <cell r="B17">
            <v>43455</v>
          </cell>
          <cell r="C17">
            <v>43455</v>
          </cell>
          <cell r="D17">
            <v>24528571.98</v>
          </cell>
          <cell r="E17">
            <v>24876595.960000001</v>
          </cell>
          <cell r="F17">
            <v>6849319.7000000002</v>
          </cell>
          <cell r="G17">
            <v>16410767.340000002</v>
          </cell>
          <cell r="H17">
            <v>11174098</v>
          </cell>
          <cell r="K17">
            <v>13543132</v>
          </cell>
          <cell r="L17">
            <v>3245482.9000000004</v>
          </cell>
          <cell r="M17">
            <v>13787899</v>
          </cell>
          <cell r="N17">
            <v>10169713.300000001</v>
          </cell>
          <cell r="O17">
            <v>4375858.09</v>
          </cell>
          <cell r="P17">
            <v>10289919.35</v>
          </cell>
          <cell r="S17">
            <v>8841137.8699999992</v>
          </cell>
          <cell r="T17">
            <v>14283604.719999999</v>
          </cell>
          <cell r="U17">
            <v>11846049.99</v>
          </cell>
          <cell r="V17">
            <v>15595814</v>
          </cell>
          <cell r="W17">
            <v>9386293</v>
          </cell>
          <cell r="X17">
            <v>6578114</v>
          </cell>
          <cell r="Y17">
            <v>7343374</v>
          </cell>
        </row>
        <row r="19">
          <cell r="A19">
            <v>45950</v>
          </cell>
          <cell r="B19">
            <v>43455</v>
          </cell>
          <cell r="C19">
            <v>43455</v>
          </cell>
          <cell r="D19">
            <v>13128176.629999999</v>
          </cell>
          <cell r="E19">
            <v>25217005.640000001</v>
          </cell>
          <cell r="G19">
            <v>10488643.460000001</v>
          </cell>
          <cell r="H19">
            <v>6757411</v>
          </cell>
          <cell r="K19">
            <v>8696673.4899999984</v>
          </cell>
          <cell r="L19">
            <v>2535066.62</v>
          </cell>
          <cell r="M19">
            <v>10000815</v>
          </cell>
          <cell r="N19">
            <v>7788514</v>
          </cell>
          <cell r="O19">
            <v>2864929</v>
          </cell>
          <cell r="P19">
            <v>6549606.1500000004</v>
          </cell>
          <cell r="S19">
            <v>5322249.37</v>
          </cell>
          <cell r="T19">
            <v>9576050.0499999989</v>
          </cell>
          <cell r="U19">
            <v>7880334.6400000006</v>
          </cell>
          <cell r="V19">
            <v>10055479</v>
          </cell>
          <cell r="W19">
            <v>5461173</v>
          </cell>
          <cell r="X19">
            <v>4363494</v>
          </cell>
          <cell r="Y19">
            <v>4061076</v>
          </cell>
        </row>
        <row r="23">
          <cell r="D23">
            <v>1459313</v>
          </cell>
          <cell r="E23">
            <v>1710991</v>
          </cell>
          <cell r="F23">
            <v>78200</v>
          </cell>
          <cell r="G23">
            <v>1065356</v>
          </cell>
          <cell r="H23">
            <v>867384</v>
          </cell>
          <cell r="K23">
            <v>802185</v>
          </cell>
          <cell r="L23">
            <v>29266</v>
          </cell>
          <cell r="M23">
            <v>700566</v>
          </cell>
          <cell r="N23">
            <v>736153</v>
          </cell>
          <cell r="O23">
            <v>44437</v>
          </cell>
          <cell r="P23">
            <v>497986</v>
          </cell>
          <cell r="S23">
            <v>811274</v>
          </cell>
          <cell r="T23">
            <v>1069667</v>
          </cell>
          <cell r="U23">
            <v>793998</v>
          </cell>
          <cell r="V23">
            <v>926241</v>
          </cell>
          <cell r="W23">
            <v>506013</v>
          </cell>
          <cell r="X23">
            <v>703983</v>
          </cell>
          <cell r="Y23">
            <v>401822</v>
          </cell>
        </row>
        <row r="95">
          <cell r="D95">
            <v>458</v>
          </cell>
          <cell r="E95">
            <v>766</v>
          </cell>
          <cell r="F95">
            <v>7</v>
          </cell>
          <cell r="G95">
            <v>337</v>
          </cell>
          <cell r="H95">
            <v>275</v>
          </cell>
          <cell r="K95">
            <v>337</v>
          </cell>
          <cell r="L95">
            <v>8</v>
          </cell>
          <cell r="M95">
            <v>295</v>
          </cell>
          <cell r="N95">
            <v>343</v>
          </cell>
          <cell r="O95">
            <v>8</v>
          </cell>
          <cell r="P95">
            <v>247</v>
          </cell>
          <cell r="S95">
            <v>248</v>
          </cell>
          <cell r="T95">
            <v>310</v>
          </cell>
          <cell r="U95">
            <v>211</v>
          </cell>
          <cell r="V95">
            <v>258</v>
          </cell>
          <cell r="W95">
            <v>218</v>
          </cell>
          <cell r="X95">
            <v>217</v>
          </cell>
          <cell r="Y95">
            <v>276</v>
          </cell>
        </row>
      </sheetData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S137"/>
  <sheetViews>
    <sheetView topLeftCell="A52" zoomScale="71" workbookViewId="0">
      <selection activeCell="A80" sqref="A80:C80"/>
    </sheetView>
  </sheetViews>
  <sheetFormatPr defaultColWidth="9.1796875" defaultRowHeight="14.5" x14ac:dyDescent="0.35"/>
  <cols>
    <col min="1" max="1" width="17" style="46" customWidth="1"/>
    <col min="2" max="2" width="6" style="46" customWidth="1"/>
    <col min="3" max="3" width="11.1796875" style="46" customWidth="1"/>
    <col min="4" max="5" width="9.81640625" style="212" bestFit="1" customWidth="1"/>
    <col min="6" max="6" width="9.453125" style="212" customWidth="1"/>
    <col min="7" max="8" width="9.81640625" style="46" bestFit="1" customWidth="1"/>
    <col min="9" max="9" width="10.81640625" style="46" bestFit="1" customWidth="1"/>
    <col min="10" max="10" width="0.81640625" style="977" customWidth="1"/>
    <col min="11" max="11" width="9.81640625" style="386" bestFit="1" customWidth="1"/>
    <col min="12" max="12" width="8.7265625" style="46" bestFit="1" customWidth="1"/>
    <col min="13" max="14" width="9.81640625" style="46" bestFit="1" customWidth="1"/>
    <col min="15" max="15" width="8.7265625" style="46" bestFit="1" customWidth="1"/>
    <col min="16" max="17" width="9.81640625" style="46" bestFit="1" customWidth="1"/>
    <col min="18" max="18" width="0.81640625" style="977" customWidth="1"/>
    <col min="19" max="19" width="9.81640625" style="46" bestFit="1" customWidth="1"/>
    <col min="20" max="20" width="10.81640625" style="46" bestFit="1" customWidth="1"/>
    <col min="21" max="25" width="9.81640625" style="46" bestFit="1" customWidth="1"/>
    <col min="26" max="26" width="10.81640625" style="46" bestFit="1" customWidth="1"/>
    <col min="27" max="27" width="1.1796875" style="977" customWidth="1"/>
    <col min="28" max="28" width="15.7265625" style="46" bestFit="1" customWidth="1"/>
    <col min="29" max="29" width="18.7265625" style="46" bestFit="1" customWidth="1"/>
    <col min="30" max="30" width="21.453125" style="46" bestFit="1" customWidth="1"/>
    <col min="31" max="31" width="16.26953125" style="46" bestFit="1" customWidth="1"/>
    <col min="32" max="32" width="7.7265625" style="46" bestFit="1" customWidth="1"/>
    <col min="33" max="33" width="1.453125" style="46" customWidth="1"/>
    <col min="34" max="34" width="20.1796875" style="46" bestFit="1" customWidth="1"/>
    <col min="35" max="35" width="12.453125" style="46" bestFit="1" customWidth="1"/>
    <col min="36" max="36" width="10" style="46" customWidth="1"/>
    <col min="37" max="37" width="17.7265625" style="46" bestFit="1" customWidth="1"/>
    <col min="38" max="38" width="13.81640625" style="46" customWidth="1"/>
    <col min="39" max="39" width="11.7265625" style="46" customWidth="1"/>
    <col min="40" max="41" width="14.453125" style="46" customWidth="1"/>
    <col min="42" max="42" width="12" style="46" bestFit="1" customWidth="1"/>
    <col min="43" max="43" width="22.1796875" style="46" bestFit="1" customWidth="1"/>
    <col min="44" max="44" width="13.453125" style="46" customWidth="1"/>
    <col min="45" max="45" width="11.26953125" style="46" bestFit="1" customWidth="1"/>
    <col min="46" max="49" width="9.1796875" style="46"/>
    <col min="50" max="50" width="9.81640625" style="46" bestFit="1" customWidth="1"/>
    <col min="51" max="51" width="14.1796875" style="46" customWidth="1"/>
    <col min="52" max="56" width="9.1796875" style="46"/>
    <col min="57" max="57" width="14.1796875" style="46" customWidth="1"/>
    <col min="58" max="66" width="9.1796875" style="46"/>
    <col min="67" max="67" width="43.54296875" style="46" customWidth="1"/>
    <col min="68" max="68" width="19.7265625" style="46" customWidth="1"/>
    <col min="69" max="71" width="9.1796875" style="46"/>
    <col min="72" max="72" width="13.81640625" style="46" customWidth="1"/>
    <col min="73" max="94" width="9.1796875" style="46"/>
    <col min="95" max="95" width="19.54296875" style="46" customWidth="1"/>
    <col min="96" max="16384" width="9.1796875" style="46"/>
  </cols>
  <sheetData>
    <row r="1" spans="1:97" s="1" customFormat="1" ht="13.5" thickBot="1" x14ac:dyDescent="0.4"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4"/>
      <c r="AD1" s="5"/>
      <c r="AE1" s="5"/>
    </row>
    <row r="2" spans="1:97" s="23" customFormat="1" ht="18.75" customHeight="1" thickTop="1" thickBot="1" x14ac:dyDescent="0.4">
      <c r="A2" s="6">
        <v>46315</v>
      </c>
      <c r="B2" s="7">
        <v>43455</v>
      </c>
      <c r="C2" s="8">
        <v>43455</v>
      </c>
      <c r="D2" s="9" t="s">
        <v>0</v>
      </c>
      <c r="E2" s="10" t="s">
        <v>1</v>
      </c>
      <c r="F2" s="10" t="s">
        <v>2</v>
      </c>
      <c r="G2" s="11" t="s">
        <v>3</v>
      </c>
      <c r="H2" s="12" t="s">
        <v>4</v>
      </c>
      <c r="I2" s="13" t="s">
        <v>5</v>
      </c>
      <c r="J2" s="14"/>
      <c r="K2" s="15" t="s">
        <v>6</v>
      </c>
      <c r="L2" s="16" t="s">
        <v>7</v>
      </c>
      <c r="M2" s="16" t="s">
        <v>8</v>
      </c>
      <c r="N2" s="16" t="s">
        <v>9</v>
      </c>
      <c r="O2" s="16" t="s">
        <v>10</v>
      </c>
      <c r="P2" s="17" t="s">
        <v>11</v>
      </c>
      <c r="Q2" s="13" t="s">
        <v>12</v>
      </c>
      <c r="R2" s="18"/>
      <c r="S2" s="19" t="s">
        <v>13</v>
      </c>
      <c r="T2" s="16" t="s">
        <v>14</v>
      </c>
      <c r="U2" s="20" t="s">
        <v>15</v>
      </c>
      <c r="V2" s="20" t="s">
        <v>16</v>
      </c>
      <c r="W2" s="16" t="s">
        <v>17</v>
      </c>
      <c r="X2" s="16" t="s">
        <v>18</v>
      </c>
      <c r="Y2" s="17" t="s">
        <v>19</v>
      </c>
      <c r="Z2" s="13" t="s">
        <v>20</v>
      </c>
      <c r="AA2" s="21"/>
      <c r="AB2" s="22" t="s">
        <v>21</v>
      </c>
    </row>
    <row r="3" spans="1:97" ht="15" thickTop="1" x14ac:dyDescent="0.35">
      <c r="A3" s="24" t="s">
        <v>22</v>
      </c>
      <c r="B3" s="25"/>
      <c r="C3" s="25"/>
      <c r="D3" s="26">
        <v>82</v>
      </c>
      <c r="E3" s="27">
        <v>85</v>
      </c>
      <c r="F3" s="27"/>
      <c r="G3" s="28">
        <v>55</v>
      </c>
      <c r="H3" s="29">
        <v>31</v>
      </c>
      <c r="I3" s="30">
        <f>SUM(D3:H3)</f>
        <v>253</v>
      </c>
      <c r="J3" s="14"/>
      <c r="K3" s="31">
        <v>48</v>
      </c>
      <c r="L3" s="32">
        <v>0</v>
      </c>
      <c r="M3" s="33">
        <v>60</v>
      </c>
      <c r="N3" s="34">
        <v>41</v>
      </c>
      <c r="O3" s="32">
        <v>0</v>
      </c>
      <c r="P3" s="35">
        <v>34</v>
      </c>
      <c r="Q3" s="36">
        <f>SUM(K3:P3)</f>
        <v>183</v>
      </c>
      <c r="R3" s="18"/>
      <c r="S3" s="37">
        <v>35</v>
      </c>
      <c r="T3" s="38">
        <v>49</v>
      </c>
      <c r="U3" s="39">
        <v>46</v>
      </c>
      <c r="V3" s="40">
        <v>66</v>
      </c>
      <c r="W3" s="41">
        <v>44</v>
      </c>
      <c r="X3" s="41">
        <v>18</v>
      </c>
      <c r="Y3" s="42">
        <v>22</v>
      </c>
      <c r="Z3" s="43">
        <f>SUM(S3:Y3)</f>
        <v>280</v>
      </c>
      <c r="AA3" s="21"/>
      <c r="AB3" s="44">
        <f>I3+Q3+Z3</f>
        <v>716</v>
      </c>
      <c r="AC3" s="45"/>
      <c r="AD3" s="45"/>
      <c r="AE3" s="45"/>
      <c r="AF3" s="45"/>
      <c r="AG3" s="45"/>
    </row>
    <row r="4" spans="1:97" x14ac:dyDescent="0.35">
      <c r="A4" s="47" t="s">
        <v>23</v>
      </c>
      <c r="B4" s="48"/>
      <c r="C4" s="49"/>
      <c r="D4" s="50">
        <v>1130</v>
      </c>
      <c r="E4" s="51">
        <v>1787</v>
      </c>
      <c r="F4" s="51"/>
      <c r="G4" s="52">
        <v>826</v>
      </c>
      <c r="H4" s="53">
        <v>597</v>
      </c>
      <c r="I4" s="54">
        <f>SUM(D4:H4)</f>
        <v>4340</v>
      </c>
      <c r="J4" s="14"/>
      <c r="K4" s="55">
        <v>918</v>
      </c>
      <c r="L4" s="51">
        <v>0</v>
      </c>
      <c r="M4" s="56">
        <v>848</v>
      </c>
      <c r="N4" s="57">
        <v>738</v>
      </c>
      <c r="O4" s="58">
        <v>0</v>
      </c>
      <c r="P4" s="59">
        <v>627</v>
      </c>
      <c r="Q4" s="60">
        <f>SUM(K4:P4)</f>
        <v>3131</v>
      </c>
      <c r="R4" s="18"/>
      <c r="S4" s="61">
        <v>592</v>
      </c>
      <c r="T4" s="62">
        <v>983</v>
      </c>
      <c r="U4" s="63">
        <v>755</v>
      </c>
      <c r="V4" s="64">
        <v>855</v>
      </c>
      <c r="W4" s="52">
        <v>595</v>
      </c>
      <c r="X4" s="52">
        <v>394</v>
      </c>
      <c r="Y4" s="57">
        <v>400</v>
      </c>
      <c r="Z4" s="54">
        <f>SUM(S4:Y4)</f>
        <v>4574</v>
      </c>
      <c r="AA4" s="21"/>
      <c r="AB4" s="65">
        <f>I4+Q4+Z4</f>
        <v>12045</v>
      </c>
      <c r="AC4" s="66"/>
      <c r="AD4" s="45"/>
      <c r="AF4" s="45"/>
      <c r="AG4" s="45"/>
    </row>
    <row r="5" spans="1:97" x14ac:dyDescent="0.35">
      <c r="A5" s="47" t="s">
        <v>24</v>
      </c>
      <c r="B5" s="48"/>
      <c r="C5" s="49"/>
      <c r="D5" s="67">
        <v>9878867.5399999991</v>
      </c>
      <c r="E5" s="68">
        <v>14733137.569999998</v>
      </c>
      <c r="F5" s="68"/>
      <c r="G5" s="69">
        <v>6134744.1600000001</v>
      </c>
      <c r="H5" s="70">
        <v>5613918</v>
      </c>
      <c r="I5" s="71">
        <f>SUM(D5:H5)</f>
        <v>36360667.269999996</v>
      </c>
      <c r="J5" s="14"/>
      <c r="K5" s="55">
        <v>6177252</v>
      </c>
      <c r="L5" s="68">
        <v>0</v>
      </c>
      <c r="M5" s="56">
        <v>5914070</v>
      </c>
      <c r="N5" s="72">
        <v>5417818.21</v>
      </c>
      <c r="O5" s="58">
        <v>0</v>
      </c>
      <c r="P5" s="59">
        <v>4519803</v>
      </c>
      <c r="Q5" s="60">
        <f t="shared" ref="Q5:Q6" si="0">SUM(K5:P5)</f>
        <v>22028943.210000001</v>
      </c>
      <c r="R5" s="18"/>
      <c r="S5" s="73">
        <v>4011258.41</v>
      </c>
      <c r="T5" s="74">
        <v>6361940.9000000004</v>
      </c>
      <c r="U5" s="75">
        <v>5564800.7999999998</v>
      </c>
      <c r="V5" s="64">
        <v>6069304</v>
      </c>
      <c r="W5" s="52">
        <v>3600061</v>
      </c>
      <c r="X5" s="69">
        <v>3170802</v>
      </c>
      <c r="Y5" s="57">
        <v>3603586</v>
      </c>
      <c r="Z5" s="71">
        <f t="shared" ref="Z5:Z6" si="1">SUM(S5:Y5)</f>
        <v>32381753.109999999</v>
      </c>
      <c r="AA5" s="21"/>
      <c r="AB5" s="65">
        <f>I5+Q5+Z5</f>
        <v>90771363.590000004</v>
      </c>
      <c r="AC5" s="76"/>
      <c r="AD5" s="66"/>
      <c r="AF5" s="45"/>
      <c r="AG5" s="45"/>
      <c r="AH5" s="66"/>
    </row>
    <row r="6" spans="1:97" ht="15" thickBot="1" x14ac:dyDescent="0.4">
      <c r="A6" s="77" t="s">
        <v>25</v>
      </c>
      <c r="B6" s="78"/>
      <c r="C6" s="79"/>
      <c r="D6" s="80">
        <v>5026845.43</v>
      </c>
      <c r="E6" s="81">
        <v>6991468.7299999995</v>
      </c>
      <c r="F6" s="81"/>
      <c r="G6" s="69">
        <v>3307133.8</v>
      </c>
      <c r="H6" s="82">
        <v>2591301</v>
      </c>
      <c r="I6" s="83">
        <f>SUM(D6:H6)</f>
        <v>17916748.960000001</v>
      </c>
      <c r="J6" s="14"/>
      <c r="K6" s="84">
        <v>2980879</v>
      </c>
      <c r="L6" s="81">
        <v>0</v>
      </c>
      <c r="M6" s="85">
        <v>2813434</v>
      </c>
      <c r="N6" s="86">
        <v>2638909.1</v>
      </c>
      <c r="O6" s="87">
        <v>0</v>
      </c>
      <c r="P6" s="88">
        <v>1929260</v>
      </c>
      <c r="Q6" s="60">
        <f t="shared" si="0"/>
        <v>10362482.1</v>
      </c>
      <c r="R6" s="18"/>
      <c r="S6" s="89">
        <v>2207899.66</v>
      </c>
      <c r="T6" s="90">
        <v>3412287.12</v>
      </c>
      <c r="U6" s="91">
        <v>2697544.04</v>
      </c>
      <c r="V6" s="92">
        <v>3188130</v>
      </c>
      <c r="W6" s="93">
        <v>1823489</v>
      </c>
      <c r="X6" s="94">
        <v>1823595</v>
      </c>
      <c r="Y6" s="95">
        <v>1615823.1</v>
      </c>
      <c r="Z6" s="83">
        <f t="shared" si="1"/>
        <v>16768767.92</v>
      </c>
      <c r="AA6" s="21"/>
      <c r="AB6" s="96">
        <f>I6+Q6+Z6</f>
        <v>45047998.980000004</v>
      </c>
      <c r="AC6" s="76"/>
      <c r="AD6" s="66"/>
      <c r="AF6" s="45"/>
      <c r="AG6" s="45"/>
      <c r="AH6" s="66"/>
    </row>
    <row r="7" spans="1:97" s="118" customFormat="1" ht="3.75" customHeight="1" thickBot="1" x14ac:dyDescent="0.4">
      <c r="A7" s="97"/>
      <c r="B7" s="98"/>
      <c r="C7" s="99"/>
      <c r="D7" s="100"/>
      <c r="E7" s="101"/>
      <c r="F7" s="101"/>
      <c r="G7" s="102"/>
      <c r="H7" s="103"/>
      <c r="I7" s="104"/>
      <c r="J7" s="14"/>
      <c r="K7" s="105"/>
      <c r="L7" s="101"/>
      <c r="M7" s="102"/>
      <c r="N7" s="106"/>
      <c r="O7" s="107"/>
      <c r="P7" s="107"/>
      <c r="Q7" s="108"/>
      <c r="R7" s="18"/>
      <c r="S7" s="109"/>
      <c r="T7" s="110"/>
      <c r="U7" s="110"/>
      <c r="V7" s="106"/>
      <c r="W7" s="111"/>
      <c r="X7" s="111"/>
      <c r="Y7" s="111"/>
      <c r="Z7" s="112"/>
      <c r="AA7" s="21"/>
      <c r="AB7" s="113"/>
      <c r="AC7" s="114"/>
      <c r="AD7" s="115"/>
      <c r="AE7" s="45"/>
      <c r="AF7" s="114"/>
      <c r="AG7" s="114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N7" s="116"/>
      <c r="BO7" s="116"/>
      <c r="BP7" s="116"/>
      <c r="BQ7" s="116"/>
      <c r="BR7" s="116"/>
      <c r="BS7" s="116"/>
      <c r="BT7" s="116"/>
      <c r="BU7" s="116"/>
      <c r="BV7" s="116"/>
      <c r="BW7" s="116"/>
      <c r="BX7" s="116"/>
      <c r="BY7" s="116"/>
      <c r="BZ7" s="116"/>
      <c r="CA7" s="116"/>
      <c r="CB7" s="116"/>
      <c r="CC7" s="116"/>
      <c r="CD7" s="116"/>
      <c r="CE7" s="116"/>
      <c r="CF7" s="116"/>
      <c r="CG7" s="116"/>
      <c r="CH7" s="116"/>
      <c r="CI7" s="116"/>
      <c r="CJ7" s="116"/>
      <c r="CK7" s="116"/>
      <c r="CL7" s="116"/>
      <c r="CM7" s="116"/>
      <c r="CN7" s="116"/>
      <c r="CO7" s="116"/>
      <c r="CP7" s="116"/>
      <c r="CQ7" s="116"/>
      <c r="CR7" s="116"/>
      <c r="CS7" s="117"/>
    </row>
    <row r="8" spans="1:97" x14ac:dyDescent="0.35">
      <c r="A8" s="119" t="s">
        <v>26</v>
      </c>
      <c r="B8" s="120"/>
      <c r="C8" s="121"/>
      <c r="D8" s="50">
        <v>22</v>
      </c>
      <c r="E8" s="122">
        <v>19</v>
      </c>
      <c r="F8" s="122">
        <v>9</v>
      </c>
      <c r="G8" s="123">
        <v>17</v>
      </c>
      <c r="H8" s="124">
        <v>17</v>
      </c>
      <c r="I8" s="125">
        <f>SUM(D8:H8)</f>
        <v>84</v>
      </c>
      <c r="J8" s="14"/>
      <c r="K8" s="126">
        <v>6</v>
      </c>
      <c r="L8" s="127">
        <v>10</v>
      </c>
      <c r="M8" s="123">
        <v>12</v>
      </c>
      <c r="N8" s="128">
        <v>6</v>
      </c>
      <c r="O8" s="129">
        <v>6</v>
      </c>
      <c r="P8" s="130">
        <v>12</v>
      </c>
      <c r="Q8" s="131">
        <f>SUM(K8:P8)</f>
        <v>52</v>
      </c>
      <c r="R8" s="18"/>
      <c r="S8" s="132">
        <v>6</v>
      </c>
      <c r="T8" s="133">
        <v>21</v>
      </c>
      <c r="U8" s="134">
        <v>9</v>
      </c>
      <c r="V8" s="135">
        <v>10</v>
      </c>
      <c r="W8" s="136">
        <v>9</v>
      </c>
      <c r="X8" s="136">
        <v>3</v>
      </c>
      <c r="Y8" s="128">
        <v>8</v>
      </c>
      <c r="Z8" s="137">
        <f t="shared" ref="Z8:Z11" si="2">SUM(S8:Y8)</f>
        <v>66</v>
      </c>
      <c r="AA8" s="21"/>
      <c r="AB8" s="138">
        <f>I8+Q8+Z8</f>
        <v>202</v>
      </c>
      <c r="AC8" s="139"/>
      <c r="AD8" s="66"/>
      <c r="AE8" s="66"/>
      <c r="AF8" s="66"/>
      <c r="AG8" s="45"/>
    </row>
    <row r="9" spans="1:97" x14ac:dyDescent="0.35">
      <c r="A9" s="47" t="s">
        <v>27</v>
      </c>
      <c r="B9" s="48"/>
      <c r="C9" s="49"/>
      <c r="D9" s="50">
        <v>311</v>
      </c>
      <c r="E9" s="140">
        <v>316</v>
      </c>
      <c r="F9" s="140">
        <v>160</v>
      </c>
      <c r="G9" s="56">
        <v>240</v>
      </c>
      <c r="H9" s="53">
        <v>197</v>
      </c>
      <c r="I9" s="54">
        <f>SUM(D9:H9)</f>
        <v>1224</v>
      </c>
      <c r="J9" s="14"/>
      <c r="K9" s="55">
        <v>173</v>
      </c>
      <c r="L9" s="141">
        <v>83</v>
      </c>
      <c r="M9" s="56">
        <v>204</v>
      </c>
      <c r="N9" s="57">
        <v>128</v>
      </c>
      <c r="O9" s="58">
        <v>105</v>
      </c>
      <c r="P9" s="59">
        <v>143</v>
      </c>
      <c r="Q9" s="60">
        <f t="shared" ref="Q9:Q11" si="3">SUM(K9:P9)</f>
        <v>836</v>
      </c>
      <c r="R9" s="18"/>
      <c r="S9" s="61">
        <v>129</v>
      </c>
      <c r="T9" s="62">
        <v>268</v>
      </c>
      <c r="U9" s="63">
        <v>137</v>
      </c>
      <c r="V9" s="64">
        <v>252</v>
      </c>
      <c r="W9" s="52">
        <v>121</v>
      </c>
      <c r="X9" s="52">
        <v>75</v>
      </c>
      <c r="Y9" s="57">
        <v>86</v>
      </c>
      <c r="Z9" s="71">
        <f t="shared" si="2"/>
        <v>1068</v>
      </c>
      <c r="AA9" s="21"/>
      <c r="AB9" s="65">
        <f>I9+Q9+Z9</f>
        <v>3128</v>
      </c>
      <c r="AC9" s="45"/>
      <c r="AD9" s="66"/>
      <c r="AE9" s="45"/>
      <c r="AF9" s="45"/>
      <c r="AG9" s="45"/>
    </row>
    <row r="10" spans="1:97" ht="15" customHeight="1" x14ac:dyDescent="0.35">
      <c r="A10" s="47" t="s">
        <v>28</v>
      </c>
      <c r="B10" s="48"/>
      <c r="C10" s="49"/>
      <c r="D10" s="67">
        <v>4716425.12</v>
      </c>
      <c r="E10" s="140">
        <v>1132613.26</v>
      </c>
      <c r="F10" s="140">
        <v>7967611.9000000004</v>
      </c>
      <c r="G10" s="56">
        <v>3854353.05</v>
      </c>
      <c r="H10" s="142">
        <v>3069696</v>
      </c>
      <c r="I10" s="143">
        <f>SUM(D10:H10)</f>
        <v>20740699.330000002</v>
      </c>
      <c r="J10" s="14"/>
      <c r="K10" s="55">
        <v>883327</v>
      </c>
      <c r="L10" s="141">
        <v>3907224.02</v>
      </c>
      <c r="M10" s="56">
        <v>1663709</v>
      </c>
      <c r="N10" s="144">
        <v>369056.43</v>
      </c>
      <c r="O10" s="58">
        <v>3377229.78</v>
      </c>
      <c r="P10" s="59">
        <v>1712560.31</v>
      </c>
      <c r="Q10" s="60">
        <f t="shared" si="3"/>
        <v>11913106.539999999</v>
      </c>
      <c r="R10" s="18"/>
      <c r="S10" s="73">
        <v>1522859.59</v>
      </c>
      <c r="T10" s="145">
        <v>3233341.87</v>
      </c>
      <c r="U10" s="75">
        <v>2870337.17</v>
      </c>
      <c r="V10" s="146">
        <v>2315367</v>
      </c>
      <c r="W10" s="147">
        <v>1284108</v>
      </c>
      <c r="X10" s="147">
        <v>986631</v>
      </c>
      <c r="Y10" s="148">
        <v>792512</v>
      </c>
      <c r="Z10" s="71">
        <f t="shared" si="2"/>
        <v>13005156.629999999</v>
      </c>
      <c r="AA10" s="21"/>
      <c r="AB10" s="65">
        <f>I10+Q10+Z10</f>
        <v>45658962.5</v>
      </c>
      <c r="AC10" s="76"/>
      <c r="AD10" s="66"/>
      <c r="AE10" s="66"/>
      <c r="AF10" s="149"/>
      <c r="AG10" s="45"/>
    </row>
    <row r="11" spans="1:97" ht="15" thickBot="1" x14ac:dyDescent="0.4">
      <c r="A11" s="150" t="s">
        <v>29</v>
      </c>
      <c r="B11" s="151"/>
      <c r="C11" s="152"/>
      <c r="D11" s="153">
        <v>2291339.64</v>
      </c>
      <c r="E11" s="154">
        <v>556470.23</v>
      </c>
      <c r="F11" s="154">
        <v>3026344.86</v>
      </c>
      <c r="G11" s="85">
        <v>1836759.2</v>
      </c>
      <c r="H11" s="82">
        <v>969070</v>
      </c>
      <c r="I11" s="83">
        <f>SUM(D11:H11)</f>
        <v>8679983.9299999997</v>
      </c>
      <c r="J11" s="14"/>
      <c r="K11" s="155">
        <v>634407</v>
      </c>
      <c r="L11" s="156">
        <v>1164513.6399999999</v>
      </c>
      <c r="M11" s="85">
        <v>918478</v>
      </c>
      <c r="N11" s="86">
        <v>250636.5</v>
      </c>
      <c r="O11" s="87">
        <v>1299662</v>
      </c>
      <c r="P11" s="88">
        <v>999882.67</v>
      </c>
      <c r="Q11" s="157">
        <f t="shared" si="3"/>
        <v>5267579.8099999996</v>
      </c>
      <c r="R11" s="18"/>
      <c r="S11" s="89">
        <v>697919.1</v>
      </c>
      <c r="T11" s="158">
        <v>1354254.32</v>
      </c>
      <c r="U11" s="91">
        <v>896177.16</v>
      </c>
      <c r="V11" s="92">
        <v>1411524</v>
      </c>
      <c r="W11" s="159">
        <v>775293</v>
      </c>
      <c r="X11" s="159">
        <v>581010</v>
      </c>
      <c r="Y11" s="160">
        <v>291810</v>
      </c>
      <c r="Z11" s="83">
        <f t="shared" si="2"/>
        <v>6007987.5800000001</v>
      </c>
      <c r="AA11" s="21"/>
      <c r="AB11" s="96">
        <f>I11+Q11+Z11</f>
        <v>19955551.32</v>
      </c>
      <c r="AC11" s="76"/>
      <c r="AD11" s="66"/>
      <c r="AE11" s="66"/>
      <c r="AF11" s="45"/>
      <c r="AG11" s="45"/>
    </row>
    <row r="12" spans="1:97" s="118" customFormat="1" ht="3" customHeight="1" thickBot="1" x14ac:dyDescent="0.4">
      <c r="A12" s="97"/>
      <c r="B12" s="98"/>
      <c r="C12" s="99"/>
      <c r="D12" s="161"/>
      <c r="E12" s="162"/>
      <c r="F12" s="162"/>
      <c r="G12" s="163"/>
      <c r="H12" s="106"/>
      <c r="I12" s="104"/>
      <c r="J12" s="14"/>
      <c r="K12" s="164"/>
      <c r="L12" s="162"/>
      <c r="M12" s="163"/>
      <c r="N12" s="106"/>
      <c r="O12" s="165"/>
      <c r="P12" s="166"/>
      <c r="Q12" s="167"/>
      <c r="R12" s="18"/>
      <c r="S12" s="109"/>
      <c r="T12" s="110"/>
      <c r="U12" s="168"/>
      <c r="V12" s="111"/>
      <c r="W12" s="111"/>
      <c r="X12" s="165"/>
      <c r="Y12" s="111"/>
      <c r="Z12" s="112"/>
      <c r="AA12" s="21"/>
      <c r="AB12" s="113"/>
      <c r="AC12" s="45"/>
      <c r="AD12" s="114"/>
      <c r="AE12" s="45"/>
      <c r="AF12" s="114"/>
      <c r="AG12" s="114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6"/>
      <c r="CC12" s="116"/>
      <c r="CD12" s="116"/>
      <c r="CE12" s="116"/>
      <c r="CF12" s="116"/>
      <c r="CG12" s="116"/>
      <c r="CH12" s="116"/>
      <c r="CI12" s="116"/>
      <c r="CJ12" s="116"/>
      <c r="CK12" s="46"/>
      <c r="CL12" s="46"/>
      <c r="CM12" s="46"/>
      <c r="CN12" s="46"/>
      <c r="CO12" s="46"/>
      <c r="CP12" s="116"/>
      <c r="CQ12" s="116"/>
      <c r="CR12" s="116"/>
      <c r="CS12" s="117"/>
    </row>
    <row r="13" spans="1:97" s="187" customFormat="1" ht="14.25" customHeight="1" x14ac:dyDescent="0.35">
      <c r="A13" s="119" t="s">
        <v>30</v>
      </c>
      <c r="B13" s="120"/>
      <c r="C13" s="121"/>
      <c r="D13" s="169">
        <v>1255382</v>
      </c>
      <c r="E13" s="170">
        <v>716268.67</v>
      </c>
      <c r="F13" s="171"/>
      <c r="G13" s="172">
        <v>202719</v>
      </c>
      <c r="H13" s="173">
        <v>276262</v>
      </c>
      <c r="I13" s="174">
        <f>SUM(D13:H13)</f>
        <v>2450631.67</v>
      </c>
      <c r="J13" s="14"/>
      <c r="K13" s="175">
        <v>606880</v>
      </c>
      <c r="L13" s="171">
        <v>150616.06</v>
      </c>
      <c r="M13" s="176">
        <v>1016676</v>
      </c>
      <c r="N13" s="177">
        <v>366421</v>
      </c>
      <c r="O13" s="178">
        <v>35982</v>
      </c>
      <c r="P13" s="179">
        <v>94155</v>
      </c>
      <c r="Q13" s="174">
        <f>SUM(K13:P13)</f>
        <v>2270730.06</v>
      </c>
      <c r="R13" s="18"/>
      <c r="S13" s="180">
        <v>352371</v>
      </c>
      <c r="T13" s="178">
        <v>481150</v>
      </c>
      <c r="U13" s="181">
        <v>331262</v>
      </c>
      <c r="V13" s="182">
        <v>395874</v>
      </c>
      <c r="W13" s="182">
        <v>80047</v>
      </c>
      <c r="X13" s="178">
        <v>63960</v>
      </c>
      <c r="Y13" s="183">
        <v>91290</v>
      </c>
      <c r="Z13" s="137">
        <f>SUM(S13:Y13)</f>
        <v>1795954</v>
      </c>
      <c r="AA13" s="21"/>
      <c r="AB13" s="138">
        <f>I13+Q13+Z13</f>
        <v>6517315.7300000004</v>
      </c>
      <c r="AC13" s="184"/>
      <c r="AD13" s="45"/>
      <c r="AE13" s="139"/>
      <c r="AF13" s="185"/>
      <c r="AG13" s="45"/>
      <c r="AH13" s="116"/>
      <c r="AI13" s="116"/>
      <c r="AJ13" s="18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116"/>
      <c r="CE13" s="116"/>
      <c r="CF13" s="116"/>
      <c r="CG13" s="116"/>
      <c r="CH13" s="116"/>
      <c r="CI13" s="116"/>
      <c r="CJ13" s="116"/>
      <c r="CK13" s="46"/>
      <c r="CL13" s="46"/>
      <c r="CM13" s="46"/>
      <c r="CN13" s="46"/>
      <c r="CO13" s="46"/>
      <c r="CP13" s="116"/>
      <c r="CQ13" s="116"/>
      <c r="CR13" s="116"/>
    </row>
    <row r="14" spans="1:97" ht="15" thickBot="1" x14ac:dyDescent="0.4">
      <c r="A14" s="150" t="s">
        <v>31</v>
      </c>
      <c r="B14" s="151"/>
      <c r="C14" s="152"/>
      <c r="D14" s="188">
        <f>D13/(D89+D13)</f>
        <v>9.6754620230766794E-2</v>
      </c>
      <c r="E14" s="189">
        <f t="shared" ref="E14:Z14" si="4">E13/(E89+E13)</f>
        <v>5.5196418720672789E-2</v>
      </c>
      <c r="F14" s="189">
        <f t="shared" si="4"/>
        <v>0</v>
      </c>
      <c r="G14" s="189">
        <f t="shared" si="4"/>
        <v>2.4976672409678668E-2</v>
      </c>
      <c r="H14" s="190">
        <f t="shared" si="4"/>
        <v>3.8631891112609423E-2</v>
      </c>
      <c r="I14" s="191">
        <f t="shared" si="4"/>
        <v>5.0532011185151805E-2</v>
      </c>
      <c r="J14" s="14"/>
      <c r="K14" s="192">
        <f>K13/(K89+K13)</f>
        <v>0.10704924952704509</v>
      </c>
      <c r="L14" s="189">
        <f t="shared" si="4"/>
        <v>4.1586352498579317E-2</v>
      </c>
      <c r="M14" s="189">
        <f t="shared" si="4"/>
        <v>0.14512065477884004</v>
      </c>
      <c r="N14" s="189">
        <f t="shared" si="4"/>
        <v>7.9909558729507488E-2</v>
      </c>
      <c r="O14" s="189">
        <f t="shared" si="4"/>
        <v>1.1798794142383684E-2</v>
      </c>
      <c r="P14" s="190">
        <f t="shared" si="4"/>
        <v>1.9630420857167145E-2</v>
      </c>
      <c r="Q14" s="191">
        <f t="shared" si="4"/>
        <v>7.9042057916134931E-2</v>
      </c>
      <c r="R14" s="18"/>
      <c r="S14" s="192">
        <f t="shared" si="4"/>
        <v>8.2574171933406132E-2</v>
      </c>
      <c r="T14" s="189">
        <f t="shared" si="4"/>
        <v>6.0771785995020852E-2</v>
      </c>
      <c r="U14" s="189">
        <f t="shared" si="4"/>
        <v>4.7432452027009429E-2</v>
      </c>
      <c r="V14" s="189">
        <f t="shared" si="4"/>
        <v>5.6669608068321595E-2</v>
      </c>
      <c r="W14" s="189">
        <f t="shared" si="4"/>
        <v>2.0924043528869597E-2</v>
      </c>
      <c r="X14" s="189">
        <f t="shared" si="4"/>
        <v>2.1504350778001592E-2</v>
      </c>
      <c r="Y14" s="190">
        <f t="shared" si="4"/>
        <v>2.5797533036935719E-2</v>
      </c>
      <c r="Z14" s="191">
        <f t="shared" si="4"/>
        <v>4.9213979456287346E-2</v>
      </c>
      <c r="AA14" s="21"/>
      <c r="AB14" s="193">
        <f>AB13/(AB89+AB13)</f>
        <v>5.7311456042152882E-2</v>
      </c>
      <c r="AC14" s="184"/>
      <c r="AD14" s="45"/>
      <c r="AE14" s="45"/>
      <c r="AF14" s="45"/>
      <c r="AG14" s="45"/>
    </row>
    <row r="15" spans="1:97" s="209" customFormat="1" ht="18" customHeight="1" thickBot="1" x14ac:dyDescent="0.4">
      <c r="A15" s="194" t="s">
        <v>32</v>
      </c>
      <c r="B15" s="195"/>
      <c r="C15" s="196"/>
      <c r="D15" s="197">
        <f>D5+D6+D10+D11+D13</f>
        <v>23168859.73</v>
      </c>
      <c r="E15" s="198">
        <f>E5+E6+E10+E11+E13</f>
        <v>24129958.460000001</v>
      </c>
      <c r="F15" s="198">
        <f>F5+F6+F10+F11+F13</f>
        <v>10993956.76</v>
      </c>
      <c r="G15" s="198">
        <f>G5+G6+G10+G11+G13</f>
        <v>15335709.210000001</v>
      </c>
      <c r="H15" s="199">
        <f>H5+H6+H10+H11+H13</f>
        <v>12520247</v>
      </c>
      <c r="I15" s="200">
        <f>SUM(D15:H15)</f>
        <v>86148731.159999996</v>
      </c>
      <c r="J15" s="201"/>
      <c r="K15" s="202">
        <f t="shared" ref="K15:Z15" si="5">K5+K6+K10+K11+K13</f>
        <v>11282745</v>
      </c>
      <c r="L15" s="203">
        <f t="shared" si="5"/>
        <v>5222353.72</v>
      </c>
      <c r="M15" s="203">
        <f t="shared" si="5"/>
        <v>12326367</v>
      </c>
      <c r="N15" s="203">
        <f t="shared" si="5"/>
        <v>9042841.2400000002</v>
      </c>
      <c r="O15" s="203">
        <f t="shared" si="5"/>
        <v>4712873.7799999993</v>
      </c>
      <c r="P15" s="204">
        <f t="shared" si="5"/>
        <v>9255660.9800000004</v>
      </c>
      <c r="Q15" s="200">
        <f>SUM(K15:P15)</f>
        <v>51842841.719999999</v>
      </c>
      <c r="R15" s="18"/>
      <c r="S15" s="202">
        <f>S5+S6+S10+S11+S13</f>
        <v>8792307.7599999998</v>
      </c>
      <c r="T15" s="203">
        <f t="shared" si="5"/>
        <v>14842974.210000001</v>
      </c>
      <c r="U15" s="203">
        <f t="shared" si="5"/>
        <v>12360121.17</v>
      </c>
      <c r="V15" s="203">
        <f t="shared" si="5"/>
        <v>13380199</v>
      </c>
      <c r="W15" s="203">
        <f t="shared" si="5"/>
        <v>7562998</v>
      </c>
      <c r="X15" s="203">
        <f t="shared" si="5"/>
        <v>6625998</v>
      </c>
      <c r="Y15" s="204">
        <f t="shared" si="5"/>
        <v>6395021.0999999996</v>
      </c>
      <c r="Z15" s="200">
        <f t="shared" si="5"/>
        <v>69959619.239999995</v>
      </c>
      <c r="AA15" s="21"/>
      <c r="AB15" s="205">
        <f>I15+Q15+Z15</f>
        <v>207951192.12</v>
      </c>
      <c r="AC15" s="206"/>
      <c r="AD15" s="207"/>
      <c r="AE15" s="208"/>
      <c r="AG15" s="114"/>
      <c r="AN15" s="210"/>
      <c r="AO15" s="211"/>
      <c r="AY15" s="212"/>
      <c r="CF15" s="46"/>
      <c r="CG15" s="46"/>
      <c r="CH15" s="46"/>
      <c r="CI15" s="46"/>
      <c r="CJ15" s="46"/>
      <c r="CK15" s="46"/>
      <c r="CL15" s="46"/>
      <c r="CM15" s="46"/>
      <c r="CN15" s="46"/>
      <c r="CO15" s="46"/>
    </row>
    <row r="16" spans="1:97" s="227" customFormat="1" ht="6" customHeight="1" thickBot="1" x14ac:dyDescent="0.4">
      <c r="A16" s="213"/>
      <c r="B16" s="214"/>
      <c r="C16" s="214"/>
      <c r="D16" s="215">
        <f>D15+D65+D66</f>
        <v>23383664.73</v>
      </c>
      <c r="E16" s="216">
        <f t="shared" ref="E16:AB16" si="6">E15+E65+E66</f>
        <v>24574768.460000001</v>
      </c>
      <c r="F16" s="216">
        <f t="shared" si="6"/>
        <v>11050167.76</v>
      </c>
      <c r="G16" s="217">
        <f t="shared" si="6"/>
        <v>15567541.210000001</v>
      </c>
      <c r="H16" s="218">
        <f t="shared" si="6"/>
        <v>12676192</v>
      </c>
      <c r="I16" s="219">
        <f t="shared" si="6"/>
        <v>87252334.159999996</v>
      </c>
      <c r="J16" s="220">
        <f t="shared" si="6"/>
        <v>0</v>
      </c>
      <c r="K16" s="215">
        <f t="shared" si="6"/>
        <v>11282745</v>
      </c>
      <c r="L16" s="216">
        <f t="shared" si="6"/>
        <v>5233293.72</v>
      </c>
      <c r="M16" s="221">
        <f t="shared" si="6"/>
        <v>12326367</v>
      </c>
      <c r="N16" s="216">
        <f t="shared" si="6"/>
        <v>9314106.7400000002</v>
      </c>
      <c r="O16" s="217">
        <f t="shared" si="6"/>
        <v>4712873.7799999993</v>
      </c>
      <c r="P16" s="218">
        <f t="shared" si="6"/>
        <v>9255660.9800000004</v>
      </c>
      <c r="Q16" s="219">
        <f t="shared" si="6"/>
        <v>52125047.219999999</v>
      </c>
      <c r="R16" s="222">
        <f t="shared" si="6"/>
        <v>0</v>
      </c>
      <c r="S16" s="215">
        <f t="shared" si="6"/>
        <v>8834574.7599999998</v>
      </c>
      <c r="T16" s="221">
        <f t="shared" si="6"/>
        <v>14842974.210000001</v>
      </c>
      <c r="U16" s="216">
        <f t="shared" si="6"/>
        <v>12539364.17</v>
      </c>
      <c r="V16" s="223">
        <f t="shared" si="6"/>
        <v>13710004</v>
      </c>
      <c r="W16" s="216">
        <f t="shared" si="6"/>
        <v>7684118</v>
      </c>
      <c r="X16" s="217">
        <f t="shared" si="6"/>
        <v>6625998</v>
      </c>
      <c r="Y16" s="218">
        <f t="shared" si="6"/>
        <v>6395021.0999999996</v>
      </c>
      <c r="Z16" s="219">
        <f t="shared" si="6"/>
        <v>70632054.239999995</v>
      </c>
      <c r="AA16" s="224">
        <f t="shared" si="6"/>
        <v>0</v>
      </c>
      <c r="AB16" s="219">
        <f t="shared" si="6"/>
        <v>210009435.62</v>
      </c>
      <c r="AC16" s="225"/>
      <c r="AD16" s="226"/>
    </row>
    <row r="17" spans="1:96" x14ac:dyDescent="0.35">
      <c r="A17" s="228">
        <v>46285</v>
      </c>
      <c r="B17" s="229">
        <v>43455</v>
      </c>
      <c r="C17" s="230">
        <v>43455</v>
      </c>
      <c r="D17" s="231">
        <v>24528571.98</v>
      </c>
      <c r="E17" s="232">
        <v>24876595.960000001</v>
      </c>
      <c r="F17" s="232">
        <v>6849319.7000000002</v>
      </c>
      <c r="G17" s="232">
        <v>16410767.340000002</v>
      </c>
      <c r="H17" s="233">
        <v>11174098</v>
      </c>
      <c r="I17" s="234">
        <f>SUM(D17:H17)</f>
        <v>83839352.980000004</v>
      </c>
      <c r="J17" s="235"/>
      <c r="K17" s="236">
        <v>13543132</v>
      </c>
      <c r="L17" s="237">
        <v>3245482.9000000004</v>
      </c>
      <c r="M17" s="237">
        <v>13787899</v>
      </c>
      <c r="N17" s="237">
        <v>10169713.300000001</v>
      </c>
      <c r="O17" s="237">
        <v>4375858.09</v>
      </c>
      <c r="P17" s="238">
        <v>10289919.35</v>
      </c>
      <c r="Q17" s="234">
        <f>SUM(K17:P17)</f>
        <v>55412004.640000008</v>
      </c>
      <c r="R17" s="18"/>
      <c r="S17" s="236">
        <v>8841137.8699999992</v>
      </c>
      <c r="T17" s="237">
        <v>14283604.719999999</v>
      </c>
      <c r="U17" s="239">
        <v>11846049.99</v>
      </c>
      <c r="V17" s="240">
        <v>15595814</v>
      </c>
      <c r="W17" s="237">
        <v>9386293</v>
      </c>
      <c r="X17" s="237">
        <v>6578114</v>
      </c>
      <c r="Y17" s="241">
        <v>7343374</v>
      </c>
      <c r="Z17" s="242">
        <f>SUM(S17:Y17)</f>
        <v>73874387.579999998</v>
      </c>
      <c r="AA17" s="21"/>
      <c r="AB17" s="65">
        <f>I17+Q17+Z17</f>
        <v>213125745.19999999</v>
      </c>
      <c r="AC17" s="243"/>
      <c r="AD17" s="66"/>
      <c r="AE17" s="244"/>
      <c r="AF17" s="66"/>
      <c r="AG17" s="66"/>
      <c r="AH17" s="66"/>
      <c r="AI17" s="66"/>
    </row>
    <row r="18" spans="1:96" ht="16.5" customHeight="1" x14ac:dyDescent="0.35">
      <c r="A18" s="245" t="s">
        <v>33</v>
      </c>
      <c r="B18" s="246"/>
      <c r="C18" s="247"/>
      <c r="D18" s="248">
        <f t="shared" ref="D18:I18" si="7">(D15/D17-1)</f>
        <v>-5.5433812091004619E-2</v>
      </c>
      <c r="E18" s="249">
        <f t="shared" si="7"/>
        <v>-3.0013652237651289E-2</v>
      </c>
      <c r="F18" s="249">
        <f t="shared" si="7"/>
        <v>0.6051166015801539</v>
      </c>
      <c r="G18" s="249">
        <f t="shared" si="7"/>
        <v>-6.5509315178677086E-2</v>
      </c>
      <c r="H18" s="250">
        <f t="shared" si="7"/>
        <v>0.12047048450801134</v>
      </c>
      <c r="I18" s="251">
        <f t="shared" si="7"/>
        <v>2.7545276745526648E-2</v>
      </c>
      <c r="J18" s="21"/>
      <c r="K18" s="252">
        <f t="shared" ref="K18:AB18" si="8">(K15/K17-1)</f>
        <v>-0.16690282572746096</v>
      </c>
      <c r="L18" s="253">
        <f t="shared" si="8"/>
        <v>0.60911453885645161</v>
      </c>
      <c r="M18" s="253">
        <f t="shared" si="8"/>
        <v>-0.10600106658744746</v>
      </c>
      <c r="N18" s="253">
        <f t="shared" si="8"/>
        <v>-0.11080666944662054</v>
      </c>
      <c r="O18" s="253">
        <f t="shared" si="8"/>
        <v>7.7017051985796892E-2</v>
      </c>
      <c r="P18" s="253">
        <f t="shared" si="8"/>
        <v>-0.10051180527474191</v>
      </c>
      <c r="Q18" s="251">
        <f t="shared" si="8"/>
        <v>-6.4411366150495697E-2</v>
      </c>
      <c r="R18" s="18"/>
      <c r="S18" s="248">
        <f t="shared" ref="S18:Y18" si="9">(S15/S17-1)</f>
        <v>-5.5230571808738693E-3</v>
      </c>
      <c r="T18" s="249">
        <f t="shared" si="9"/>
        <v>3.9161647284789991E-2</v>
      </c>
      <c r="U18" s="254">
        <f t="shared" si="9"/>
        <v>4.339599954701856E-2</v>
      </c>
      <c r="V18" s="250">
        <f t="shared" si="9"/>
        <v>-0.14206472326484532</v>
      </c>
      <c r="W18" s="250">
        <f t="shared" si="9"/>
        <v>-0.19425080806661377</v>
      </c>
      <c r="X18" s="250">
        <f t="shared" si="9"/>
        <v>7.2792900822333806E-3</v>
      </c>
      <c r="Y18" s="250">
        <f t="shared" si="9"/>
        <v>-0.12914402834446403</v>
      </c>
      <c r="Z18" s="255">
        <f t="shared" si="8"/>
        <v>-5.2992227323179208E-2</v>
      </c>
      <c r="AA18" s="21"/>
      <c r="AB18" s="256">
        <f t="shared" si="8"/>
        <v>-2.427934304766477E-2</v>
      </c>
      <c r="AC18" s="243"/>
      <c r="AD18" s="66"/>
      <c r="AE18" s="257"/>
      <c r="AF18" s="114"/>
      <c r="AG18" s="114"/>
      <c r="AH18" s="258"/>
    </row>
    <row r="19" spans="1:96" ht="16.5" customHeight="1" x14ac:dyDescent="0.35">
      <c r="A19" s="259">
        <v>45950</v>
      </c>
      <c r="B19" s="260">
        <v>43455</v>
      </c>
      <c r="C19" s="261">
        <v>43455</v>
      </c>
      <c r="D19" s="55">
        <v>13128176.629999999</v>
      </c>
      <c r="E19" s="240">
        <v>25217005.640000001</v>
      </c>
      <c r="F19" s="240"/>
      <c r="G19" s="240">
        <v>10488643.460000001</v>
      </c>
      <c r="H19" s="262">
        <v>6757411</v>
      </c>
      <c r="I19" s="263">
        <f>SUM(D19:H19)</f>
        <v>55591236.729999997</v>
      </c>
      <c r="J19" s="235"/>
      <c r="K19" s="264">
        <v>8696673.4899999984</v>
      </c>
      <c r="L19" s="58">
        <v>2535066.62</v>
      </c>
      <c r="M19" s="58">
        <v>10000815</v>
      </c>
      <c r="N19" s="58">
        <v>7788514</v>
      </c>
      <c r="O19" s="58">
        <v>2864929</v>
      </c>
      <c r="P19" s="59">
        <v>6549606.1500000004</v>
      </c>
      <c r="Q19" s="60">
        <f t="shared" ref="Q19" si="10">SUM(K19:P19)</f>
        <v>38435604.259999998</v>
      </c>
      <c r="R19" s="18"/>
      <c r="S19" s="265">
        <v>5322249.37</v>
      </c>
      <c r="T19" s="266">
        <v>9576050.0499999989</v>
      </c>
      <c r="U19" s="266">
        <v>7880334.6400000006</v>
      </c>
      <c r="V19" s="64">
        <v>10055479</v>
      </c>
      <c r="W19" s="52">
        <v>5461173</v>
      </c>
      <c r="X19" s="52">
        <v>4363494</v>
      </c>
      <c r="Y19" s="57">
        <v>4061076</v>
      </c>
      <c r="Z19" s="242">
        <f>SUM(S19:Y19)</f>
        <v>46719856.060000002</v>
      </c>
      <c r="AA19" s="21"/>
      <c r="AB19" s="65">
        <f>I19+Q19+Z19</f>
        <v>140746697.05000001</v>
      </c>
      <c r="AC19" s="267"/>
      <c r="AD19" s="268"/>
      <c r="AE19" s="267"/>
      <c r="AF19" s="66"/>
      <c r="AG19" s="66"/>
      <c r="AH19" s="269"/>
    </row>
    <row r="20" spans="1:96" ht="19.5" customHeight="1" thickBot="1" x14ac:dyDescent="0.4">
      <c r="A20" s="270" t="s">
        <v>34</v>
      </c>
      <c r="B20" s="271"/>
      <c r="C20" s="272"/>
      <c r="D20" s="273">
        <f t="shared" ref="D20:I20" si="11">(D15/D19-1)</f>
        <v>0.76481931824831051</v>
      </c>
      <c r="E20" s="274">
        <f t="shared" si="11"/>
        <v>-4.3107702616193677E-2</v>
      </c>
      <c r="F20" s="274" t="e">
        <f t="shared" si="11"/>
        <v>#DIV/0!</v>
      </c>
      <c r="G20" s="274">
        <f t="shared" si="11"/>
        <v>0.46212513262415733</v>
      </c>
      <c r="H20" s="274">
        <f t="shared" si="11"/>
        <v>0.85281715142086223</v>
      </c>
      <c r="I20" s="275">
        <f t="shared" si="11"/>
        <v>0.54968186044167533</v>
      </c>
      <c r="J20" s="21"/>
      <c r="K20" s="276">
        <f t="shared" ref="K20:AB20" si="12">(K15/K19-1)</f>
        <v>0.29736329792921801</v>
      </c>
      <c r="L20" s="277">
        <f t="shared" si="12"/>
        <v>1.0600459486149516</v>
      </c>
      <c r="M20" s="277">
        <f t="shared" si="12"/>
        <v>0.2325362482957638</v>
      </c>
      <c r="N20" s="277">
        <f t="shared" si="12"/>
        <v>0.16104833861761048</v>
      </c>
      <c r="O20" s="277">
        <f t="shared" si="12"/>
        <v>0.64502288887438364</v>
      </c>
      <c r="P20" s="277">
        <f t="shared" si="12"/>
        <v>0.41316298538042617</v>
      </c>
      <c r="Q20" s="275">
        <f t="shared" si="12"/>
        <v>0.34882338181301686</v>
      </c>
      <c r="R20" s="18"/>
      <c r="S20" s="278">
        <f t="shared" ref="S20:Y20" si="13">(S15/S19-1)</f>
        <v>0.65199094382155942</v>
      </c>
      <c r="T20" s="279">
        <f t="shared" si="13"/>
        <v>0.55001009106045795</v>
      </c>
      <c r="U20" s="280">
        <f t="shared" si="13"/>
        <v>0.56847668717784283</v>
      </c>
      <c r="V20" s="274">
        <f t="shared" si="13"/>
        <v>0.33063765535187328</v>
      </c>
      <c r="W20" s="274">
        <f t="shared" si="13"/>
        <v>0.38486695074483079</v>
      </c>
      <c r="X20" s="274">
        <f t="shared" si="13"/>
        <v>0.51850741630445696</v>
      </c>
      <c r="Y20" s="274">
        <f t="shared" si="13"/>
        <v>0.57471101254938328</v>
      </c>
      <c r="Z20" s="281">
        <f t="shared" si="12"/>
        <v>0.49742797045766385</v>
      </c>
      <c r="AA20" s="21"/>
      <c r="AB20" s="282">
        <f t="shared" si="12"/>
        <v>0.47748541513642562</v>
      </c>
      <c r="AC20" s="243"/>
      <c r="AD20" s="283"/>
      <c r="AE20" s="66"/>
      <c r="AF20" s="45"/>
      <c r="AG20" s="45"/>
      <c r="AH20" s="269"/>
    </row>
    <row r="21" spans="1:96" ht="6.75" customHeight="1" thickBot="1" x14ac:dyDescent="0.4">
      <c r="A21" s="284"/>
      <c r="B21" s="285"/>
      <c r="C21" s="285"/>
      <c r="D21" s="286"/>
      <c r="E21" s="287"/>
      <c r="F21" s="287"/>
      <c r="G21" s="288"/>
      <c r="H21" s="289"/>
      <c r="I21" s="290"/>
      <c r="J21" s="235"/>
      <c r="K21" s="286"/>
      <c r="L21" s="287"/>
      <c r="M21" s="291"/>
      <c r="N21" s="287"/>
      <c r="O21" s="288"/>
      <c r="P21" s="289"/>
      <c r="Q21" s="290"/>
      <c r="R21" s="18"/>
      <c r="S21" s="286"/>
      <c r="T21" s="291"/>
      <c r="U21" s="287"/>
      <c r="V21" s="291"/>
      <c r="W21" s="287"/>
      <c r="X21" s="288"/>
      <c r="Y21" s="289"/>
      <c r="Z21" s="290"/>
      <c r="AA21" s="21"/>
      <c r="AB21" s="290"/>
      <c r="AC21" s="243"/>
      <c r="AD21" s="292"/>
      <c r="AE21" s="45"/>
      <c r="AF21" s="114"/>
      <c r="AG21" s="114"/>
    </row>
    <row r="22" spans="1:96" s="23" customFormat="1" ht="15.5" x14ac:dyDescent="0.35">
      <c r="A22" s="293" t="s">
        <v>35</v>
      </c>
      <c r="B22" s="294"/>
      <c r="C22" s="295"/>
      <c r="D22" s="296">
        <f>D4*38%*3000</f>
        <v>1288200</v>
      </c>
      <c r="E22" s="297">
        <f>E4*38%*3000</f>
        <v>2037180.0000000002</v>
      </c>
      <c r="F22" s="297">
        <f>F4*38%*3000</f>
        <v>0</v>
      </c>
      <c r="G22" s="297">
        <f>G4*38%*3000</f>
        <v>941640</v>
      </c>
      <c r="H22" s="298">
        <f>H4*38%*3000</f>
        <v>680580</v>
      </c>
      <c r="I22" s="299">
        <f t="shared" ref="I22:AB22" si="14">I4*38%*3000</f>
        <v>4947600</v>
      </c>
      <c r="J22" s="235">
        <f t="shared" si="14"/>
        <v>0</v>
      </c>
      <c r="K22" s="300">
        <f t="shared" si="14"/>
        <v>1046520.0000000001</v>
      </c>
      <c r="L22" s="297">
        <f t="shared" si="14"/>
        <v>0</v>
      </c>
      <c r="M22" s="297">
        <f t="shared" si="14"/>
        <v>966720</v>
      </c>
      <c r="N22" s="297">
        <f t="shared" si="14"/>
        <v>841320</v>
      </c>
      <c r="O22" s="297">
        <f t="shared" si="14"/>
        <v>0</v>
      </c>
      <c r="P22" s="298">
        <f t="shared" si="14"/>
        <v>714780</v>
      </c>
      <c r="Q22" s="299">
        <f t="shared" si="14"/>
        <v>3569340</v>
      </c>
      <c r="R22" s="18">
        <f t="shared" si="14"/>
        <v>0</v>
      </c>
      <c r="S22" s="300">
        <f t="shared" si="14"/>
        <v>674880</v>
      </c>
      <c r="T22" s="297">
        <f t="shared" si="14"/>
        <v>1120620</v>
      </c>
      <c r="U22" s="297">
        <f t="shared" si="14"/>
        <v>860699.99999999988</v>
      </c>
      <c r="V22" s="297">
        <f t="shared" si="14"/>
        <v>974699.99999999988</v>
      </c>
      <c r="W22" s="297">
        <f t="shared" si="14"/>
        <v>678300</v>
      </c>
      <c r="X22" s="297">
        <f t="shared" si="14"/>
        <v>449160</v>
      </c>
      <c r="Y22" s="298">
        <f t="shared" si="14"/>
        <v>456000</v>
      </c>
      <c r="Z22" s="301">
        <f t="shared" si="14"/>
        <v>5214360</v>
      </c>
      <c r="AA22" s="21">
        <f t="shared" si="14"/>
        <v>0</v>
      </c>
      <c r="AB22" s="302">
        <f t="shared" si="14"/>
        <v>13731300.000000002</v>
      </c>
      <c r="AC22" s="303"/>
      <c r="AD22" s="283"/>
      <c r="AE22" s="303"/>
      <c r="AF22" s="66"/>
      <c r="AG22" s="66"/>
      <c r="CF22" s="46"/>
      <c r="CG22" s="46"/>
      <c r="CH22" s="46"/>
      <c r="CI22" s="46"/>
      <c r="CJ22" s="46"/>
      <c r="CK22" s="46"/>
      <c r="CL22" s="46"/>
      <c r="CM22" s="46"/>
      <c r="CN22" s="46"/>
      <c r="CO22" s="46"/>
    </row>
    <row r="23" spans="1:96" x14ac:dyDescent="0.35">
      <c r="A23" s="304" t="s">
        <v>36</v>
      </c>
      <c r="B23" s="305"/>
      <c r="C23" s="306"/>
      <c r="D23" s="307">
        <v>1459313</v>
      </c>
      <c r="E23" s="308">
        <v>1710991</v>
      </c>
      <c r="F23" s="308">
        <v>78200</v>
      </c>
      <c r="G23" s="309">
        <v>1065356</v>
      </c>
      <c r="H23" s="310">
        <v>867384</v>
      </c>
      <c r="I23" s="311">
        <f>SUM(D23:H23)</f>
        <v>5181244</v>
      </c>
      <c r="J23" s="235"/>
      <c r="K23" s="312">
        <v>802185</v>
      </c>
      <c r="L23" s="313">
        <v>29266</v>
      </c>
      <c r="M23" s="313">
        <v>700566</v>
      </c>
      <c r="N23" s="313">
        <v>736153</v>
      </c>
      <c r="O23" s="314">
        <v>44437</v>
      </c>
      <c r="P23" s="315">
        <v>497986</v>
      </c>
      <c r="Q23" s="316">
        <f t="shared" ref="Q23" si="15">SUM(K23:P23)</f>
        <v>2810593</v>
      </c>
      <c r="R23" s="18"/>
      <c r="S23" s="317">
        <v>811274</v>
      </c>
      <c r="T23" s="52">
        <v>1069667</v>
      </c>
      <c r="U23" s="64">
        <v>793998</v>
      </c>
      <c r="V23" s="318">
        <v>926241</v>
      </c>
      <c r="W23" s="318">
        <v>506013</v>
      </c>
      <c r="X23" s="318">
        <v>703983</v>
      </c>
      <c r="Y23" s="319">
        <v>401822</v>
      </c>
      <c r="Z23" s="320">
        <f>SUM(S23:Y23)</f>
        <v>5212998</v>
      </c>
      <c r="AA23" s="21"/>
      <c r="AB23" s="321">
        <f>I23+Q23+Z23</f>
        <v>13204835</v>
      </c>
      <c r="AC23" s="322"/>
      <c r="AD23" s="283"/>
      <c r="AE23" s="185"/>
      <c r="AF23" s="45"/>
      <c r="AG23" s="45"/>
      <c r="AM23" s="23"/>
      <c r="AS23" s="66"/>
      <c r="AT23" s="323"/>
      <c r="CQ23" s="212"/>
    </row>
    <row r="24" spans="1:96" ht="15" thickBot="1" x14ac:dyDescent="0.4">
      <c r="A24" s="324" t="s">
        <v>37</v>
      </c>
      <c r="B24" s="325"/>
      <c r="C24" s="326"/>
      <c r="D24" s="327">
        <f>D23/D22</f>
        <v>1.132831082130104</v>
      </c>
      <c r="E24" s="328">
        <f>E23/E22</f>
        <v>0.83988209191136753</v>
      </c>
      <c r="F24" s="328" t="e">
        <f>F23/F22</f>
        <v>#DIV/0!</v>
      </c>
      <c r="G24" s="328">
        <f t="shared" ref="G24:H24" si="16">G23/G22</f>
        <v>1.1313835436047746</v>
      </c>
      <c r="H24" s="277">
        <f t="shared" si="16"/>
        <v>1.2744776514149696</v>
      </c>
      <c r="I24" s="329">
        <f>I23/I22</f>
        <v>1.0472237044223462</v>
      </c>
      <c r="J24" s="235"/>
      <c r="K24" s="330">
        <f t="shared" ref="K24:AB24" si="17">K23/K22</f>
        <v>0.76652620112372427</v>
      </c>
      <c r="L24" s="331"/>
      <c r="M24" s="331">
        <f t="shared" si="17"/>
        <v>0.72468346573982123</v>
      </c>
      <c r="N24" s="331">
        <f t="shared" si="17"/>
        <v>0.87499762278324533</v>
      </c>
      <c r="O24" s="331"/>
      <c r="P24" s="332">
        <f t="shared" si="17"/>
        <v>0.69669828478692741</v>
      </c>
      <c r="Q24" s="329">
        <f t="shared" si="17"/>
        <v>0.78742652703300886</v>
      </c>
      <c r="R24" s="18"/>
      <c r="S24" s="333">
        <f t="shared" ref="S24:Y24" si="18">S23/S22</f>
        <v>1.2021011142721669</v>
      </c>
      <c r="T24" s="331">
        <f t="shared" si="18"/>
        <v>0.95453142010672665</v>
      </c>
      <c r="U24" s="334">
        <f t="shared" si="18"/>
        <v>0.92250261415127233</v>
      </c>
      <c r="V24" s="331">
        <f t="shared" si="18"/>
        <v>0.95028316405047719</v>
      </c>
      <c r="W24" s="331">
        <f t="shared" si="18"/>
        <v>0.74600176912870408</v>
      </c>
      <c r="X24" s="331">
        <f t="shared" si="18"/>
        <v>1.567332353726957</v>
      </c>
      <c r="Y24" s="332">
        <f t="shared" si="18"/>
        <v>0.88118859649122805</v>
      </c>
      <c r="Z24" s="335">
        <f t="shared" si="17"/>
        <v>0.99973879824177847</v>
      </c>
      <c r="AA24" s="21"/>
      <c r="AB24" s="336">
        <f t="shared" si="17"/>
        <v>0.96165949327448952</v>
      </c>
      <c r="AC24" s="303"/>
      <c r="AD24" s="283"/>
      <c r="AE24" s="139"/>
      <c r="AF24" s="114"/>
      <c r="AG24" s="114"/>
      <c r="AS24" s="212"/>
      <c r="CQ24" s="212"/>
    </row>
    <row r="25" spans="1:96" s="349" customFormat="1" ht="15.75" customHeight="1" thickBot="1" x14ac:dyDescent="0.35">
      <c r="A25" s="337" t="s">
        <v>38</v>
      </c>
      <c r="B25" s="338"/>
      <c r="C25" s="339"/>
      <c r="D25" s="340">
        <f>D23/D4</f>
        <v>1291.4274336283186</v>
      </c>
      <c r="E25" s="341">
        <f>E23/E4</f>
        <v>957.46558477895917</v>
      </c>
      <c r="F25" s="341" t="e">
        <f>F23/F4</f>
        <v>#DIV/0!</v>
      </c>
      <c r="G25" s="342">
        <f>G23/G4</f>
        <v>1289.7772397094432</v>
      </c>
      <c r="H25" s="343">
        <f>H23/H4</f>
        <v>1452.9045226130654</v>
      </c>
      <c r="I25" s="344">
        <f t="shared" ref="I25:AB25" si="19">I23/I4</f>
        <v>1193.8350230414746</v>
      </c>
      <c r="J25" s="235"/>
      <c r="K25" s="340">
        <f t="shared" si="19"/>
        <v>873.83986928104571</v>
      </c>
      <c r="L25" s="342"/>
      <c r="M25" s="342">
        <f t="shared" si="19"/>
        <v>826.1391509433962</v>
      </c>
      <c r="N25" s="341">
        <f t="shared" si="19"/>
        <v>997.49728997289969</v>
      </c>
      <c r="O25" s="342"/>
      <c r="P25" s="343">
        <f t="shared" si="19"/>
        <v>794.2360446570973</v>
      </c>
      <c r="Q25" s="344">
        <f t="shared" si="19"/>
        <v>897.66624081763018</v>
      </c>
      <c r="R25" s="18"/>
      <c r="S25" s="345">
        <f t="shared" si="19"/>
        <v>1370.3952702702702</v>
      </c>
      <c r="T25" s="342">
        <f t="shared" si="19"/>
        <v>1088.1658189216685</v>
      </c>
      <c r="U25" s="342">
        <f t="shared" si="19"/>
        <v>1051.6529801324502</v>
      </c>
      <c r="V25" s="342">
        <f t="shared" si="19"/>
        <v>1083.3228070175439</v>
      </c>
      <c r="W25" s="342">
        <f t="shared" si="19"/>
        <v>850.44201680672268</v>
      </c>
      <c r="X25" s="342">
        <f t="shared" si="19"/>
        <v>1786.7588832487309</v>
      </c>
      <c r="Y25" s="341">
        <f t="shared" si="19"/>
        <v>1004.5549999999999</v>
      </c>
      <c r="Z25" s="344">
        <f t="shared" si="19"/>
        <v>1139.7022299956275</v>
      </c>
      <c r="AA25" s="21"/>
      <c r="AB25" s="344">
        <f t="shared" si="19"/>
        <v>1096.2918223329182</v>
      </c>
      <c r="AC25" s="346"/>
      <c r="AD25" s="347"/>
      <c r="AE25" s="348"/>
      <c r="AS25" s="350"/>
      <c r="AT25" s="351"/>
      <c r="CR25" s="352"/>
    </row>
    <row r="26" spans="1:96" x14ac:dyDescent="0.35">
      <c r="A26" s="353" t="s">
        <v>39</v>
      </c>
      <c r="B26" s="354"/>
      <c r="C26" s="354"/>
      <c r="D26" s="55">
        <v>14</v>
      </c>
      <c r="E26" s="136">
        <v>21</v>
      </c>
      <c r="F26" s="136">
        <v>0</v>
      </c>
      <c r="G26" s="355">
        <v>6</v>
      </c>
      <c r="H26" s="356">
        <v>7</v>
      </c>
      <c r="I26" s="357">
        <f>SUM(D26:H26)</f>
        <v>48</v>
      </c>
      <c r="J26" s="235"/>
      <c r="K26" s="358">
        <v>7</v>
      </c>
      <c r="L26" s="359">
        <v>0</v>
      </c>
      <c r="M26" s="360">
        <v>3</v>
      </c>
      <c r="N26" s="361">
        <v>5</v>
      </c>
      <c r="O26" s="361">
        <v>0</v>
      </c>
      <c r="P26" s="362">
        <v>4</v>
      </c>
      <c r="Q26" s="363">
        <f t="shared" ref="Q26:Q45" si="20">SUM(K26:P26)</f>
        <v>19</v>
      </c>
      <c r="R26" s="18"/>
      <c r="S26" s="364">
        <v>8</v>
      </c>
      <c r="T26" s="359">
        <v>1</v>
      </c>
      <c r="U26" s="365">
        <v>4</v>
      </c>
      <c r="V26" s="360">
        <v>5</v>
      </c>
      <c r="W26" s="360">
        <v>6</v>
      </c>
      <c r="X26" s="360">
        <v>0</v>
      </c>
      <c r="Y26" s="366">
        <v>1</v>
      </c>
      <c r="Z26" s="131">
        <f t="shared" ref="Z26:Z45" si="21">SUM(S26:Y26)</f>
        <v>25</v>
      </c>
      <c r="AA26" s="21"/>
      <c r="AB26" s="138">
        <f>I26+Q26+Z26</f>
        <v>92</v>
      </c>
      <c r="AC26" s="367"/>
      <c r="AD26" s="283"/>
      <c r="AE26" s="368"/>
      <c r="AF26" s="369"/>
      <c r="AG26" s="45"/>
      <c r="AH26" s="370"/>
      <c r="AS26" s="371"/>
      <c r="AT26" s="267"/>
    </row>
    <row r="27" spans="1:96" ht="15" thickBot="1" x14ac:dyDescent="0.4">
      <c r="A27" s="372" t="s">
        <v>40</v>
      </c>
      <c r="B27" s="373"/>
      <c r="C27" s="373"/>
      <c r="D27" s="374">
        <v>235</v>
      </c>
      <c r="E27" s="375">
        <v>258</v>
      </c>
      <c r="F27" s="375">
        <v>3</v>
      </c>
      <c r="G27" s="376">
        <v>107</v>
      </c>
      <c r="H27" s="377">
        <v>140</v>
      </c>
      <c r="I27" s="378">
        <f>SUM(D27:H27)</f>
        <v>743</v>
      </c>
      <c r="J27" s="235"/>
      <c r="K27" s="379">
        <v>94</v>
      </c>
      <c r="L27" s="380">
        <v>0</v>
      </c>
      <c r="M27" s="93">
        <v>84</v>
      </c>
      <c r="N27" s="381">
        <v>114</v>
      </c>
      <c r="O27" s="381">
        <v>7</v>
      </c>
      <c r="P27" s="382">
        <v>77</v>
      </c>
      <c r="Q27" s="383">
        <f t="shared" si="20"/>
        <v>376</v>
      </c>
      <c r="R27" s="18"/>
      <c r="S27" s="384">
        <v>77</v>
      </c>
      <c r="T27" s="93">
        <v>68</v>
      </c>
      <c r="U27" s="385">
        <v>54</v>
      </c>
      <c r="V27" s="93">
        <v>102</v>
      </c>
      <c r="W27" s="93">
        <v>60</v>
      </c>
      <c r="X27" s="93">
        <v>16</v>
      </c>
      <c r="Y27" s="95">
        <v>22</v>
      </c>
      <c r="Z27" s="83">
        <f t="shared" si="21"/>
        <v>399</v>
      </c>
      <c r="AA27" s="21"/>
      <c r="AB27" s="96">
        <f>I27+Q27+Z27</f>
        <v>1518</v>
      </c>
      <c r="AC27" s="184"/>
      <c r="AD27" s="212"/>
      <c r="AE27" s="269"/>
      <c r="AF27" s="283"/>
      <c r="AG27" s="45"/>
      <c r="AS27" s="386"/>
      <c r="AT27" s="386"/>
    </row>
    <row r="28" spans="1:96" ht="5.25" customHeight="1" thickBot="1" x14ac:dyDescent="0.4">
      <c r="A28" s="387"/>
      <c r="B28" s="388"/>
      <c r="C28" s="388"/>
      <c r="D28" s="286"/>
      <c r="E28" s="287"/>
      <c r="F28" s="287"/>
      <c r="G28" s="288"/>
      <c r="H28" s="289"/>
      <c r="I28" s="290"/>
      <c r="J28" s="235"/>
      <c r="K28" s="286"/>
      <c r="L28" s="287"/>
      <c r="M28" s="291"/>
      <c r="N28" s="287"/>
      <c r="O28" s="288"/>
      <c r="P28" s="289"/>
      <c r="Q28" s="290"/>
      <c r="R28" s="18"/>
      <c r="S28" s="286"/>
      <c r="T28" s="291"/>
      <c r="U28" s="287"/>
      <c r="V28" s="291"/>
      <c r="W28" s="287"/>
      <c r="X28" s="288"/>
      <c r="Y28" s="289"/>
      <c r="Z28" s="290"/>
      <c r="AA28" s="21"/>
      <c r="AB28" s="290"/>
      <c r="AF28" s="45"/>
      <c r="AG28" s="45"/>
      <c r="AS28" s="389"/>
      <c r="AT28" s="390"/>
    </row>
    <row r="29" spans="1:96" x14ac:dyDescent="0.35">
      <c r="A29" s="353" t="s">
        <v>41</v>
      </c>
      <c r="B29" s="354"/>
      <c r="C29" s="354"/>
      <c r="D29" s="391">
        <v>17</v>
      </c>
      <c r="E29" s="136">
        <v>24</v>
      </c>
      <c r="F29" s="136">
        <v>2</v>
      </c>
      <c r="G29" s="355">
        <v>5</v>
      </c>
      <c r="H29" s="356">
        <v>9</v>
      </c>
      <c r="I29" s="357">
        <f>SUM(D29:H29)</f>
        <v>57</v>
      </c>
      <c r="J29" s="235"/>
      <c r="K29" s="392">
        <v>8</v>
      </c>
      <c r="L29" s="136">
        <v>1</v>
      </c>
      <c r="M29" s="129">
        <v>6</v>
      </c>
      <c r="N29" s="393">
        <v>5</v>
      </c>
      <c r="O29" s="393">
        <v>0</v>
      </c>
      <c r="P29" s="394">
        <v>4</v>
      </c>
      <c r="Q29" s="363">
        <f t="shared" si="20"/>
        <v>24</v>
      </c>
      <c r="R29" s="18"/>
      <c r="S29" s="395">
        <v>11</v>
      </c>
      <c r="T29" s="136">
        <v>6</v>
      </c>
      <c r="U29" s="135">
        <v>6</v>
      </c>
      <c r="V29" s="129">
        <v>6</v>
      </c>
      <c r="W29" s="129">
        <v>6</v>
      </c>
      <c r="X29" s="129">
        <v>2</v>
      </c>
      <c r="Y29" s="130">
        <v>3</v>
      </c>
      <c r="Z29" s="131">
        <f t="shared" si="21"/>
        <v>40</v>
      </c>
      <c r="AA29" s="21"/>
      <c r="AB29" s="138">
        <f t="shared" ref="AB29:AB30" si="22">I29+Q29+Z29</f>
        <v>121</v>
      </c>
      <c r="AC29" s="243"/>
      <c r="AD29" s="370"/>
      <c r="AE29" s="269"/>
      <c r="AF29" s="386"/>
      <c r="AG29" s="386"/>
      <c r="AS29" s="396"/>
      <c r="AT29" s="323"/>
    </row>
    <row r="30" spans="1:96" ht="15" customHeight="1" thickBot="1" x14ac:dyDescent="0.4">
      <c r="A30" s="372" t="s">
        <v>42</v>
      </c>
      <c r="B30" s="373"/>
      <c r="C30" s="373"/>
      <c r="D30" s="374">
        <v>260</v>
      </c>
      <c r="E30" s="375">
        <v>306</v>
      </c>
      <c r="F30" s="375">
        <v>15</v>
      </c>
      <c r="G30" s="376">
        <v>121</v>
      </c>
      <c r="H30" s="397">
        <v>170</v>
      </c>
      <c r="I30" s="378">
        <f>SUM(D30:H30)</f>
        <v>872</v>
      </c>
      <c r="J30" s="398"/>
      <c r="K30" s="379">
        <v>122</v>
      </c>
      <c r="L30" s="93">
        <v>2</v>
      </c>
      <c r="M30" s="375">
        <v>98</v>
      </c>
      <c r="N30" s="399">
        <v>124</v>
      </c>
      <c r="O30" s="399">
        <v>6</v>
      </c>
      <c r="P30" s="382">
        <v>90</v>
      </c>
      <c r="Q30" s="383">
        <f t="shared" si="20"/>
        <v>442</v>
      </c>
      <c r="R30" s="18"/>
      <c r="S30" s="400">
        <v>106</v>
      </c>
      <c r="T30" s="375">
        <v>119</v>
      </c>
      <c r="U30" s="401">
        <v>95</v>
      </c>
      <c r="V30" s="375">
        <v>111</v>
      </c>
      <c r="W30" s="375">
        <v>63</v>
      </c>
      <c r="X30" s="375">
        <v>20</v>
      </c>
      <c r="Y30" s="402">
        <v>27</v>
      </c>
      <c r="Z30" s="403">
        <f t="shared" si="21"/>
        <v>541</v>
      </c>
      <c r="AA30" s="398"/>
      <c r="AB30" s="96">
        <f t="shared" si="22"/>
        <v>1855</v>
      </c>
      <c r="AC30" s="243"/>
      <c r="AD30" s="243"/>
      <c r="AE30" s="184"/>
    </row>
    <row r="31" spans="1:96" ht="6" customHeight="1" thickBot="1" x14ac:dyDescent="0.4">
      <c r="A31" s="387"/>
      <c r="B31" s="388"/>
      <c r="C31" s="388"/>
      <c r="D31" s="286"/>
      <c r="E31" s="287"/>
      <c r="F31" s="287"/>
      <c r="G31" s="288"/>
      <c r="H31" s="289"/>
      <c r="I31" s="290"/>
      <c r="J31" s="235"/>
      <c r="K31" s="286"/>
      <c r="L31" s="287"/>
      <c r="M31" s="291"/>
      <c r="N31" s="287"/>
      <c r="O31" s="288"/>
      <c r="P31" s="289"/>
      <c r="Q31" s="290"/>
      <c r="R31" s="18"/>
      <c r="S31" s="286"/>
      <c r="T31" s="291"/>
      <c r="U31" s="287"/>
      <c r="V31" s="291"/>
      <c r="W31" s="287"/>
      <c r="X31" s="288"/>
      <c r="Y31" s="289"/>
      <c r="Z31" s="290"/>
      <c r="AA31" s="235"/>
      <c r="AB31" s="290"/>
      <c r="AC31" s="243"/>
    </row>
    <row r="32" spans="1:96" x14ac:dyDescent="0.35">
      <c r="A32" s="353" t="s">
        <v>43</v>
      </c>
      <c r="B32" s="354"/>
      <c r="C32" s="354"/>
      <c r="D32" s="391">
        <v>2</v>
      </c>
      <c r="E32" s="136">
        <v>3</v>
      </c>
      <c r="F32" s="136"/>
      <c r="G32" s="355">
        <v>1</v>
      </c>
      <c r="H32" s="356">
        <v>0</v>
      </c>
      <c r="I32" s="357">
        <f>SUM(D32:H32)</f>
        <v>6</v>
      </c>
      <c r="J32" s="398"/>
      <c r="K32" s="392">
        <v>1</v>
      </c>
      <c r="L32" s="136">
        <v>0</v>
      </c>
      <c r="M32" s="129">
        <v>1</v>
      </c>
      <c r="N32" s="404">
        <v>0</v>
      </c>
      <c r="O32" s="404">
        <v>0</v>
      </c>
      <c r="P32" s="394">
        <v>0</v>
      </c>
      <c r="Q32" s="363">
        <f t="shared" si="20"/>
        <v>2</v>
      </c>
      <c r="R32" s="18"/>
      <c r="S32" s="395">
        <v>0</v>
      </c>
      <c r="T32" s="136">
        <v>0</v>
      </c>
      <c r="U32" s="135">
        <v>1</v>
      </c>
      <c r="V32" s="129">
        <v>4</v>
      </c>
      <c r="W32" s="129">
        <v>2</v>
      </c>
      <c r="X32" s="129">
        <v>2</v>
      </c>
      <c r="Y32" s="130">
        <v>0</v>
      </c>
      <c r="Z32" s="131">
        <f t="shared" si="21"/>
        <v>9</v>
      </c>
      <c r="AA32" s="398"/>
      <c r="AB32" s="138">
        <f t="shared" ref="AB32:AB33" si="23">I32+Q32+Z32</f>
        <v>17</v>
      </c>
      <c r="AC32" s="184"/>
      <c r="AD32" s="370"/>
    </row>
    <row r="33" spans="1:40" ht="15" thickBot="1" x14ac:dyDescent="0.4">
      <c r="A33" s="372" t="s">
        <v>42</v>
      </c>
      <c r="B33" s="373"/>
      <c r="C33" s="373"/>
      <c r="D33" s="374">
        <v>34</v>
      </c>
      <c r="E33" s="375">
        <v>25</v>
      </c>
      <c r="F33" s="375"/>
      <c r="G33" s="376">
        <v>9</v>
      </c>
      <c r="H33" s="397">
        <v>23</v>
      </c>
      <c r="I33" s="378">
        <f>SUM(D33:H33)</f>
        <v>91</v>
      </c>
      <c r="J33" s="398"/>
      <c r="K33" s="405">
        <v>14</v>
      </c>
      <c r="L33" s="380">
        <v>0</v>
      </c>
      <c r="M33" s="93">
        <v>23</v>
      </c>
      <c r="N33" s="406">
        <v>8</v>
      </c>
      <c r="O33" s="406">
        <v>0</v>
      </c>
      <c r="P33" s="407">
        <v>10</v>
      </c>
      <c r="Q33" s="408">
        <f t="shared" si="20"/>
        <v>55</v>
      </c>
      <c r="R33" s="18"/>
      <c r="S33" s="384">
        <v>1</v>
      </c>
      <c r="T33" s="93">
        <v>8</v>
      </c>
      <c r="U33" s="385">
        <v>10</v>
      </c>
      <c r="V33" s="93">
        <v>31</v>
      </c>
      <c r="W33" s="93">
        <v>15</v>
      </c>
      <c r="X33" s="93">
        <v>18</v>
      </c>
      <c r="Y33" s="95">
        <v>14</v>
      </c>
      <c r="Z33" s="403">
        <f t="shared" si="21"/>
        <v>97</v>
      </c>
      <c r="AA33" s="398"/>
      <c r="AB33" s="96">
        <f t="shared" si="23"/>
        <v>243</v>
      </c>
      <c r="AC33" s="243"/>
    </row>
    <row r="34" spans="1:40" ht="8.25" customHeight="1" thickBot="1" x14ac:dyDescent="0.4">
      <c r="A34" s="387"/>
      <c r="B34" s="388"/>
      <c r="C34" s="388"/>
      <c r="D34" s="286"/>
      <c r="E34" s="287"/>
      <c r="F34" s="287"/>
      <c r="G34" s="288"/>
      <c r="H34" s="289"/>
      <c r="I34" s="290"/>
      <c r="J34" s="235"/>
      <c r="K34" s="286"/>
      <c r="L34" s="287"/>
      <c r="M34" s="287"/>
      <c r="N34" s="287"/>
      <c r="O34" s="288"/>
      <c r="P34" s="289"/>
      <c r="Q34" s="290"/>
      <c r="R34" s="18"/>
      <c r="S34" s="286"/>
      <c r="T34" s="409"/>
      <c r="U34" s="287"/>
      <c r="V34" s="287"/>
      <c r="W34" s="287"/>
      <c r="X34" s="288"/>
      <c r="Y34" s="289"/>
      <c r="Z34" s="290"/>
      <c r="AA34" s="235"/>
      <c r="AB34" s="290"/>
      <c r="AC34" s="243"/>
      <c r="AD34" s="386"/>
    </row>
    <row r="35" spans="1:40" x14ac:dyDescent="0.35">
      <c r="A35" s="410" t="s">
        <v>44</v>
      </c>
      <c r="B35" s="411"/>
      <c r="C35" s="411"/>
      <c r="D35" s="412">
        <v>0</v>
      </c>
      <c r="E35" s="413">
        <v>1122</v>
      </c>
      <c r="F35" s="413"/>
      <c r="G35" s="414">
        <v>6691</v>
      </c>
      <c r="H35" s="415">
        <v>0</v>
      </c>
      <c r="I35" s="416">
        <f>SUM(D35:H35)</f>
        <v>7813</v>
      </c>
      <c r="J35" s="417"/>
      <c r="K35" s="418">
        <v>1789</v>
      </c>
      <c r="L35" s="419">
        <v>0</v>
      </c>
      <c r="M35" s="420">
        <v>0</v>
      </c>
      <c r="N35" s="421">
        <v>0</v>
      </c>
      <c r="O35" s="419">
        <v>0</v>
      </c>
      <c r="P35" s="422">
        <v>4432</v>
      </c>
      <c r="Q35" s="125">
        <f t="shared" si="20"/>
        <v>6221</v>
      </c>
      <c r="R35" s="18"/>
      <c r="S35" s="423">
        <v>0</v>
      </c>
      <c r="T35" s="424">
        <v>1356</v>
      </c>
      <c r="U35" s="425">
        <v>0</v>
      </c>
      <c r="V35" s="419">
        <v>144795</v>
      </c>
      <c r="W35" s="419">
        <v>0</v>
      </c>
      <c r="X35" s="419">
        <v>0</v>
      </c>
      <c r="Y35" s="422">
        <v>0</v>
      </c>
      <c r="Z35" s="125">
        <f t="shared" si="21"/>
        <v>146151</v>
      </c>
      <c r="AA35" s="417"/>
      <c r="AB35" s="426">
        <f>I35+Q35+Z35</f>
        <v>160185</v>
      </c>
      <c r="AC35" s="184"/>
      <c r="AD35" s="427"/>
    </row>
    <row r="36" spans="1:40" ht="17.25" customHeight="1" thickBot="1" x14ac:dyDescent="0.4">
      <c r="A36" s="428" t="s">
        <v>40</v>
      </c>
      <c r="B36" s="429"/>
      <c r="C36" s="429"/>
      <c r="D36" s="430">
        <v>166284</v>
      </c>
      <c r="E36" s="431">
        <v>119490</v>
      </c>
      <c r="F36" s="431"/>
      <c r="G36" s="432">
        <v>266720</v>
      </c>
      <c r="H36" s="433">
        <v>22686</v>
      </c>
      <c r="I36" s="434">
        <f>SUM(D36:H36)</f>
        <v>575180</v>
      </c>
      <c r="J36" s="435"/>
      <c r="K36" s="436">
        <v>50272</v>
      </c>
      <c r="L36" s="437">
        <v>0</v>
      </c>
      <c r="M36" s="438">
        <v>5500</v>
      </c>
      <c r="N36" s="439">
        <v>0</v>
      </c>
      <c r="O36" s="439">
        <v>0</v>
      </c>
      <c r="P36" s="440">
        <v>89469</v>
      </c>
      <c r="Q36" s="403">
        <f t="shared" si="20"/>
        <v>145241</v>
      </c>
      <c r="R36" s="18"/>
      <c r="S36" s="441">
        <v>0</v>
      </c>
      <c r="T36" s="437">
        <v>12480</v>
      </c>
      <c r="U36" s="442">
        <v>10975</v>
      </c>
      <c r="V36" s="437">
        <v>152644</v>
      </c>
      <c r="W36" s="437">
        <v>0</v>
      </c>
      <c r="X36" s="437">
        <v>123932</v>
      </c>
      <c r="Y36" s="440" t="s">
        <v>45</v>
      </c>
      <c r="Z36" s="403">
        <f t="shared" si="21"/>
        <v>300031</v>
      </c>
      <c r="AA36" s="435"/>
      <c r="AB36" s="443">
        <f>I36+Q36+Z36</f>
        <v>1020452</v>
      </c>
      <c r="AC36" s="184"/>
      <c r="AD36" s="444"/>
      <c r="AE36" s="370"/>
      <c r="AN36" s="212"/>
    </row>
    <row r="37" spans="1:40" ht="3" customHeight="1" thickBot="1" x14ac:dyDescent="0.4">
      <c r="A37" s="387"/>
      <c r="B37" s="388"/>
      <c r="C37" s="388"/>
      <c r="D37" s="286"/>
      <c r="E37" s="287"/>
      <c r="F37" s="287"/>
      <c r="G37" s="288"/>
      <c r="H37" s="289"/>
      <c r="I37" s="290"/>
      <c r="J37" s="435"/>
      <c r="K37" s="286"/>
      <c r="L37" s="288"/>
      <c r="M37" s="288"/>
      <c r="N37" s="288"/>
      <c r="O37" s="288"/>
      <c r="P37" s="289"/>
      <c r="Q37" s="290"/>
      <c r="R37" s="18"/>
      <c r="S37" s="286"/>
      <c r="T37" s="288"/>
      <c r="U37" s="288"/>
      <c r="V37" s="288"/>
      <c r="W37" s="288"/>
      <c r="X37" s="288"/>
      <c r="Y37" s="289"/>
      <c r="Z37" s="290"/>
      <c r="AA37" s="235"/>
      <c r="AB37" s="290"/>
      <c r="AC37" s="243"/>
    </row>
    <row r="38" spans="1:40" x14ac:dyDescent="0.35">
      <c r="A38" s="410" t="s">
        <v>46</v>
      </c>
      <c r="B38" s="411"/>
      <c r="C38" s="411"/>
      <c r="D38" s="412">
        <v>5</v>
      </c>
      <c r="E38" s="419">
        <v>9</v>
      </c>
      <c r="F38" s="419">
        <v>0</v>
      </c>
      <c r="G38" s="414">
        <v>3</v>
      </c>
      <c r="H38" s="415">
        <v>3</v>
      </c>
      <c r="I38" s="416">
        <f>SUM(D38:H38)</f>
        <v>20</v>
      </c>
      <c r="J38" s="435"/>
      <c r="K38" s="418">
        <v>4</v>
      </c>
      <c r="L38" s="445">
        <v>0</v>
      </c>
      <c r="M38" s="445">
        <v>1</v>
      </c>
      <c r="N38" s="421">
        <v>1</v>
      </c>
      <c r="O38" s="421">
        <v>0</v>
      </c>
      <c r="P38" s="422">
        <v>5</v>
      </c>
      <c r="Q38" s="125">
        <f t="shared" si="20"/>
        <v>11</v>
      </c>
      <c r="R38" s="18"/>
      <c r="S38" s="423">
        <v>3</v>
      </c>
      <c r="T38" s="424">
        <v>5</v>
      </c>
      <c r="U38" s="425">
        <v>4</v>
      </c>
      <c r="V38" s="445">
        <v>4</v>
      </c>
      <c r="W38" s="445">
        <v>4</v>
      </c>
      <c r="X38" s="445">
        <v>2</v>
      </c>
      <c r="Y38" s="446">
        <v>4</v>
      </c>
      <c r="Z38" s="447">
        <f t="shared" si="21"/>
        <v>26</v>
      </c>
      <c r="AA38" s="417"/>
      <c r="AB38" s="426">
        <f>I38+Q38+Z38</f>
        <v>57</v>
      </c>
      <c r="AC38" s="184"/>
      <c r="AD38" s="448"/>
    </row>
    <row r="39" spans="1:40" ht="15" thickBot="1" x14ac:dyDescent="0.4">
      <c r="A39" s="428" t="s">
        <v>40</v>
      </c>
      <c r="B39" s="429"/>
      <c r="C39" s="429"/>
      <c r="D39" s="449">
        <v>66</v>
      </c>
      <c r="E39" s="437">
        <v>110</v>
      </c>
      <c r="F39" s="437">
        <v>0</v>
      </c>
      <c r="G39" s="450">
        <v>75</v>
      </c>
      <c r="H39" s="451">
        <v>43</v>
      </c>
      <c r="I39" s="452">
        <f>SUM(D39:H39)</f>
        <v>294</v>
      </c>
      <c r="J39" s="435"/>
      <c r="K39" s="436">
        <v>56</v>
      </c>
      <c r="L39" s="453">
        <v>0</v>
      </c>
      <c r="M39" s="453">
        <v>46</v>
      </c>
      <c r="N39" s="454">
        <v>37</v>
      </c>
      <c r="O39" s="454">
        <v>0</v>
      </c>
      <c r="P39" s="455">
        <v>31</v>
      </c>
      <c r="Q39" s="408">
        <f t="shared" si="20"/>
        <v>170</v>
      </c>
      <c r="R39" s="18"/>
      <c r="S39" s="441">
        <v>38</v>
      </c>
      <c r="T39" s="456">
        <v>70</v>
      </c>
      <c r="U39" s="442">
        <v>30</v>
      </c>
      <c r="V39" s="453">
        <v>62</v>
      </c>
      <c r="W39" s="453">
        <v>29</v>
      </c>
      <c r="X39" s="453">
        <v>13</v>
      </c>
      <c r="Y39" s="457">
        <v>23</v>
      </c>
      <c r="Z39" s="458">
        <f t="shared" si="21"/>
        <v>265</v>
      </c>
      <c r="AA39" s="417"/>
      <c r="AB39" s="443">
        <f>I39+Q39+Z39</f>
        <v>729</v>
      </c>
      <c r="AC39" s="243"/>
      <c r="AK39" s="212"/>
    </row>
    <row r="40" spans="1:40" ht="6.75" customHeight="1" thickBot="1" x14ac:dyDescent="0.4">
      <c r="A40" s="387"/>
      <c r="B40" s="388"/>
      <c r="C40" s="388"/>
      <c r="D40" s="286"/>
      <c r="E40" s="287"/>
      <c r="F40" s="287"/>
      <c r="G40" s="288"/>
      <c r="H40" s="289"/>
      <c r="I40" s="290"/>
      <c r="J40" s="435"/>
      <c r="K40" s="286"/>
      <c r="L40" s="287"/>
      <c r="M40" s="288"/>
      <c r="N40" s="288"/>
      <c r="O40" s="288"/>
      <c r="P40" s="289"/>
      <c r="Q40" s="290"/>
      <c r="R40" s="18"/>
      <c r="S40" s="286"/>
      <c r="T40" s="287"/>
      <c r="U40" s="287"/>
      <c r="V40" s="459"/>
      <c r="W40" s="287"/>
      <c r="X40" s="288"/>
      <c r="Y40" s="289"/>
      <c r="Z40" s="290"/>
      <c r="AA40" s="417"/>
      <c r="AB40" s="290"/>
      <c r="AC40" s="243"/>
    </row>
    <row r="41" spans="1:40" x14ac:dyDescent="0.35">
      <c r="A41" s="460" t="s">
        <v>47</v>
      </c>
      <c r="B41" s="461"/>
      <c r="C41" s="461"/>
      <c r="D41" s="462">
        <v>9</v>
      </c>
      <c r="E41" s="463">
        <v>12</v>
      </c>
      <c r="F41" s="463">
        <v>0</v>
      </c>
      <c r="G41" s="464">
        <v>8</v>
      </c>
      <c r="H41" s="465">
        <v>3</v>
      </c>
      <c r="I41" s="416">
        <f>SUM(D41:H41)</f>
        <v>32</v>
      </c>
      <c r="J41" s="435"/>
      <c r="K41" s="466">
        <v>4</v>
      </c>
      <c r="L41" s="463">
        <v>0</v>
      </c>
      <c r="M41" s="463">
        <v>2</v>
      </c>
      <c r="N41" s="467">
        <v>6</v>
      </c>
      <c r="O41" s="467">
        <v>0</v>
      </c>
      <c r="P41" s="468">
        <v>5</v>
      </c>
      <c r="Q41" s="469">
        <f t="shared" si="20"/>
        <v>17</v>
      </c>
      <c r="R41" s="18"/>
      <c r="S41" s="470">
        <v>6</v>
      </c>
      <c r="T41" s="463">
        <v>11</v>
      </c>
      <c r="U41" s="471">
        <v>13</v>
      </c>
      <c r="V41" s="472">
        <v>3</v>
      </c>
      <c r="W41" s="463">
        <v>7</v>
      </c>
      <c r="X41" s="463">
        <v>3</v>
      </c>
      <c r="Y41" s="473">
        <v>11</v>
      </c>
      <c r="Z41" s="125">
        <f t="shared" si="21"/>
        <v>54</v>
      </c>
      <c r="AA41" s="417"/>
      <c r="AB41" s="474">
        <f t="shared" ref="AB41:AB42" si="24">I41+Q41+Z41</f>
        <v>103</v>
      </c>
      <c r="AC41" s="243"/>
      <c r="AD41" s="212"/>
    </row>
    <row r="42" spans="1:40" ht="15" thickBot="1" x14ac:dyDescent="0.4">
      <c r="A42" s="475" t="s">
        <v>40</v>
      </c>
      <c r="B42" s="476"/>
      <c r="C42" s="476"/>
      <c r="D42" s="477">
        <v>231</v>
      </c>
      <c r="E42" s="478">
        <v>222</v>
      </c>
      <c r="F42" s="478">
        <v>0</v>
      </c>
      <c r="G42" s="479">
        <v>122</v>
      </c>
      <c r="H42" s="480">
        <v>86</v>
      </c>
      <c r="I42" s="481">
        <f>SUM(D42:H42)</f>
        <v>661</v>
      </c>
      <c r="J42" s="435"/>
      <c r="K42" s="482">
        <v>81</v>
      </c>
      <c r="L42" s="478">
        <v>0</v>
      </c>
      <c r="M42" s="478">
        <v>76</v>
      </c>
      <c r="N42" s="483">
        <v>73</v>
      </c>
      <c r="O42" s="483">
        <v>0</v>
      </c>
      <c r="P42" s="484">
        <v>95</v>
      </c>
      <c r="Q42" s="485">
        <f t="shared" si="20"/>
        <v>325</v>
      </c>
      <c r="R42" s="18"/>
      <c r="S42" s="486">
        <v>102</v>
      </c>
      <c r="T42" s="478">
        <v>147</v>
      </c>
      <c r="U42" s="487">
        <v>106</v>
      </c>
      <c r="V42" s="478">
        <v>108</v>
      </c>
      <c r="W42" s="478">
        <v>47</v>
      </c>
      <c r="X42" s="478">
        <v>45</v>
      </c>
      <c r="Y42" s="488">
        <v>78</v>
      </c>
      <c r="Z42" s="489">
        <f t="shared" si="21"/>
        <v>633</v>
      </c>
      <c r="AA42" s="417"/>
      <c r="AB42" s="490">
        <f t="shared" si="24"/>
        <v>1619</v>
      </c>
      <c r="AC42" s="212"/>
      <c r="AD42" s="212"/>
    </row>
    <row r="43" spans="1:40" ht="15.75" customHeight="1" thickBot="1" x14ac:dyDescent="0.4">
      <c r="A43" s="491" t="s">
        <v>48</v>
      </c>
      <c r="B43" s="492"/>
      <c r="C43" s="492"/>
      <c r="D43" s="493">
        <f t="shared" ref="D43:AB43" si="25">D42/D92</f>
        <v>0.31300813008130079</v>
      </c>
      <c r="E43" s="494">
        <f t="shared" si="25"/>
        <v>0.18845500848896435</v>
      </c>
      <c r="F43" s="494" t="e">
        <f t="shared" si="25"/>
        <v>#DIV/0!</v>
      </c>
      <c r="G43" s="494">
        <f t="shared" si="25"/>
        <v>0.20401337792642141</v>
      </c>
      <c r="H43" s="495">
        <f t="shared" si="25"/>
        <v>0.19679633867276888</v>
      </c>
      <c r="I43" s="496">
        <f t="shared" si="25"/>
        <v>0.22399186716367334</v>
      </c>
      <c r="J43" s="497" t="e">
        <f t="shared" si="25"/>
        <v>#DIV/0!</v>
      </c>
      <c r="K43" s="493">
        <f t="shared" si="25"/>
        <v>0.13846153846153847</v>
      </c>
      <c r="L43" s="495" t="e">
        <f t="shared" si="25"/>
        <v>#DIV/0!</v>
      </c>
      <c r="M43" s="494">
        <f t="shared" si="25"/>
        <v>0.13996316758747698</v>
      </c>
      <c r="N43" s="495">
        <f t="shared" si="25"/>
        <v>0.13082437275985664</v>
      </c>
      <c r="O43" s="494" t="e">
        <f t="shared" si="25"/>
        <v>#DIV/0!</v>
      </c>
      <c r="P43" s="498">
        <f t="shared" si="25"/>
        <v>0.21889400921658986</v>
      </c>
      <c r="Q43" s="496">
        <f t="shared" si="25"/>
        <v>0.15330188679245282</v>
      </c>
      <c r="R43" s="499" t="e">
        <f t="shared" si="25"/>
        <v>#DIV/0!</v>
      </c>
      <c r="S43" s="494">
        <f t="shared" si="25"/>
        <v>0.25954198473282442</v>
      </c>
      <c r="T43" s="494">
        <f t="shared" si="25"/>
        <v>0.22105263157894736</v>
      </c>
      <c r="U43" s="494">
        <f t="shared" si="25"/>
        <v>0.21242484969939879</v>
      </c>
      <c r="V43" s="494">
        <f t="shared" si="25"/>
        <v>0.18524871355060035</v>
      </c>
      <c r="W43" s="494">
        <f t="shared" si="25"/>
        <v>0.1111111111111111</v>
      </c>
      <c r="X43" s="494">
        <f t="shared" si="25"/>
        <v>0.14195583596214512</v>
      </c>
      <c r="Y43" s="500">
        <f t="shared" si="25"/>
        <v>0.2805755395683453</v>
      </c>
      <c r="Z43" s="501">
        <f t="shared" si="25"/>
        <v>0.20044331855604813</v>
      </c>
      <c r="AA43" s="417" t="e">
        <f t="shared" si="25"/>
        <v>#DIV/0!</v>
      </c>
      <c r="AB43" s="496">
        <f t="shared" si="25"/>
        <v>0.19674322517924414</v>
      </c>
    </row>
    <row r="44" spans="1:40" x14ac:dyDescent="0.35">
      <c r="A44" s="502" t="s">
        <v>49</v>
      </c>
      <c r="B44" s="503"/>
      <c r="C44" s="503"/>
      <c r="D44" s="504">
        <v>4</v>
      </c>
      <c r="E44" s="505">
        <v>4</v>
      </c>
      <c r="F44" s="505">
        <v>0</v>
      </c>
      <c r="G44" s="506">
        <v>6</v>
      </c>
      <c r="H44" s="507">
        <v>7</v>
      </c>
      <c r="I44" s="508">
        <f>SUM(D44:H44)</f>
        <v>21</v>
      </c>
      <c r="J44" s="435"/>
      <c r="K44" s="504">
        <v>0</v>
      </c>
      <c r="L44" s="506">
        <v>0</v>
      </c>
      <c r="M44" s="506">
        <v>1</v>
      </c>
      <c r="N44" s="506">
        <v>4</v>
      </c>
      <c r="O44" s="506">
        <v>0</v>
      </c>
      <c r="P44" s="509">
        <v>3</v>
      </c>
      <c r="Q44" s="510">
        <f t="shared" si="20"/>
        <v>8</v>
      </c>
      <c r="R44" s="18"/>
      <c r="S44" s="511">
        <v>4</v>
      </c>
      <c r="T44" s="512">
        <v>6</v>
      </c>
      <c r="U44" s="513">
        <v>11</v>
      </c>
      <c r="V44" s="513">
        <v>7</v>
      </c>
      <c r="W44" s="505">
        <v>5</v>
      </c>
      <c r="X44" s="505">
        <v>30</v>
      </c>
      <c r="Y44" s="514">
        <v>7</v>
      </c>
      <c r="Z44" s="30">
        <f t="shared" si="21"/>
        <v>70</v>
      </c>
      <c r="AA44" s="417"/>
      <c r="AB44" s="515">
        <f t="shared" ref="AB44:AB45" si="26">I44+Q44+Z44</f>
        <v>99</v>
      </c>
      <c r="AC44" s="212"/>
      <c r="AD44" s="267"/>
    </row>
    <row r="45" spans="1:40" x14ac:dyDescent="0.35">
      <c r="A45" s="516" t="s">
        <v>40</v>
      </c>
      <c r="B45" s="517"/>
      <c r="C45" s="517"/>
      <c r="D45" s="518">
        <v>121</v>
      </c>
      <c r="E45" s="519">
        <v>46</v>
      </c>
      <c r="F45" s="519">
        <v>0</v>
      </c>
      <c r="G45" s="520">
        <v>88</v>
      </c>
      <c r="H45" s="521">
        <v>108</v>
      </c>
      <c r="I45" s="522">
        <f>SUM(D45:H45)</f>
        <v>363</v>
      </c>
      <c r="J45" s="435"/>
      <c r="K45" s="504">
        <v>2</v>
      </c>
      <c r="L45" s="520">
        <v>0</v>
      </c>
      <c r="M45" s="520">
        <v>32</v>
      </c>
      <c r="N45" s="520">
        <v>28</v>
      </c>
      <c r="O45" s="520">
        <v>0</v>
      </c>
      <c r="P45" s="509">
        <v>30</v>
      </c>
      <c r="Q45" s="523">
        <f t="shared" si="20"/>
        <v>92</v>
      </c>
      <c r="R45" s="18"/>
      <c r="S45" s="524">
        <v>45</v>
      </c>
      <c r="T45" s="525">
        <v>150</v>
      </c>
      <c r="U45" s="526">
        <v>99</v>
      </c>
      <c r="V45" s="527">
        <v>119</v>
      </c>
      <c r="W45" s="519">
        <v>47</v>
      </c>
      <c r="X45" s="519">
        <v>109</v>
      </c>
      <c r="Y45" s="528">
        <v>28</v>
      </c>
      <c r="Z45" s="54">
        <f t="shared" si="21"/>
        <v>597</v>
      </c>
      <c r="AA45" s="417"/>
      <c r="AB45" s="529">
        <f t="shared" si="26"/>
        <v>1052</v>
      </c>
      <c r="AC45" s="212"/>
      <c r="AD45" s="212"/>
    </row>
    <row r="46" spans="1:40" ht="21.75" customHeight="1" thickBot="1" x14ac:dyDescent="0.4">
      <c r="A46" s="530" t="s">
        <v>50</v>
      </c>
      <c r="B46" s="531"/>
      <c r="C46" s="531"/>
      <c r="D46" s="532">
        <f>D45/(D4+D9)%</f>
        <v>8.3969465648854964</v>
      </c>
      <c r="E46" s="533">
        <f>E45/(E4+E9)%</f>
        <v>2.1873514027579648</v>
      </c>
      <c r="F46" s="533">
        <f>F45/(F4+F9)%</f>
        <v>0</v>
      </c>
      <c r="G46" s="533">
        <f>G45/(G4+G9)%</f>
        <v>8.2551594746716699</v>
      </c>
      <c r="H46" s="534">
        <f>H45/(H4+H9)%</f>
        <v>13.602015113350125</v>
      </c>
      <c r="I46" s="535">
        <f t="shared" ref="I46:AB46" si="27">I45/(I4+I9)%</f>
        <v>6.5240833932422717</v>
      </c>
      <c r="J46" s="536"/>
      <c r="K46" s="532">
        <f t="shared" si="27"/>
        <v>0.18331805682859761</v>
      </c>
      <c r="L46" s="533">
        <f t="shared" si="27"/>
        <v>0</v>
      </c>
      <c r="M46" s="533">
        <f t="shared" si="27"/>
        <v>3.0418250950570345</v>
      </c>
      <c r="N46" s="533">
        <f t="shared" si="27"/>
        <v>3.2332563510392611</v>
      </c>
      <c r="O46" s="533">
        <f t="shared" si="27"/>
        <v>0</v>
      </c>
      <c r="P46" s="534">
        <f t="shared" si="27"/>
        <v>3.8961038961038961</v>
      </c>
      <c r="Q46" s="535">
        <f t="shared" si="27"/>
        <v>2.3191328459793294</v>
      </c>
      <c r="R46" s="18"/>
      <c r="S46" s="537">
        <f t="shared" si="27"/>
        <v>6.2413314840499305</v>
      </c>
      <c r="T46" s="533">
        <f t="shared" si="27"/>
        <v>11.990407673860911</v>
      </c>
      <c r="U46" s="533">
        <f t="shared" si="27"/>
        <v>11.098654708520179</v>
      </c>
      <c r="V46" s="533">
        <f t="shared" si="27"/>
        <v>10.749774164408311</v>
      </c>
      <c r="W46" s="533">
        <f t="shared" si="27"/>
        <v>6.5642458100558656</v>
      </c>
      <c r="X46" s="533">
        <f t="shared" si="27"/>
        <v>23.240938166311299</v>
      </c>
      <c r="Y46" s="538">
        <f t="shared" si="27"/>
        <v>5.7613168724279831</v>
      </c>
      <c r="Z46" s="535">
        <f t="shared" si="27"/>
        <v>10.581354129741227</v>
      </c>
      <c r="AA46" s="417"/>
      <c r="AB46" s="539">
        <f t="shared" si="27"/>
        <v>6.933368483490411</v>
      </c>
      <c r="AD46" s="540"/>
      <c r="AE46" s="212"/>
    </row>
    <row r="47" spans="1:40" s="560" customFormat="1" x14ac:dyDescent="0.35">
      <c r="A47" s="541" t="s">
        <v>51</v>
      </c>
      <c r="B47" s="542"/>
      <c r="C47" s="542"/>
      <c r="D47" s="543">
        <v>0</v>
      </c>
      <c r="E47" s="544">
        <v>0</v>
      </c>
      <c r="F47" s="544">
        <v>0</v>
      </c>
      <c r="G47" s="545">
        <v>0</v>
      </c>
      <c r="H47" s="546">
        <v>0</v>
      </c>
      <c r="I47" s="547">
        <f>SUM(D47:H47)</f>
        <v>0</v>
      </c>
      <c r="J47" s="536"/>
      <c r="K47" s="548">
        <v>0</v>
      </c>
      <c r="L47" s="549">
        <v>0</v>
      </c>
      <c r="M47" s="549">
        <v>504</v>
      </c>
      <c r="N47" s="550">
        <v>0</v>
      </c>
      <c r="O47" s="550">
        <v>0</v>
      </c>
      <c r="P47" s="551">
        <v>0</v>
      </c>
      <c r="Q47" s="552">
        <f t="shared" ref="Q47:Q54" si="28">SUM(K47:P47)</f>
        <v>504</v>
      </c>
      <c r="R47" s="18"/>
      <c r="S47" s="553">
        <v>1852</v>
      </c>
      <c r="T47" s="554">
        <v>422</v>
      </c>
      <c r="U47" s="555">
        <v>0</v>
      </c>
      <c r="V47" s="556">
        <v>0</v>
      </c>
      <c r="W47" s="550">
        <v>0</v>
      </c>
      <c r="X47" s="550">
        <v>0</v>
      </c>
      <c r="Y47" s="557">
        <v>811</v>
      </c>
      <c r="Z47" s="125">
        <f t="shared" ref="Z47:Z48" si="29">SUM(S47:Y47)</f>
        <v>3085</v>
      </c>
      <c r="AA47" s="417"/>
      <c r="AB47" s="558">
        <f t="shared" ref="AB47:AB48" si="30">I47+Q47+Z47</f>
        <v>3589</v>
      </c>
      <c r="AC47" s="46"/>
      <c r="AD47" s="559"/>
      <c r="AE47" s="386"/>
    </row>
    <row r="48" spans="1:40" s="560" customFormat="1" ht="18.75" customHeight="1" x14ac:dyDescent="0.35">
      <c r="A48" s="561" t="s">
        <v>40</v>
      </c>
      <c r="B48" s="562"/>
      <c r="C48" s="562"/>
      <c r="D48" s="543">
        <v>0</v>
      </c>
      <c r="E48" s="563">
        <v>668</v>
      </c>
      <c r="F48" s="563">
        <v>0</v>
      </c>
      <c r="G48" s="564">
        <v>0</v>
      </c>
      <c r="H48" s="565">
        <v>2221</v>
      </c>
      <c r="I48" s="54">
        <f>SUM(D48:H48)</f>
        <v>2889</v>
      </c>
      <c r="J48" s="536"/>
      <c r="K48" s="566">
        <v>0</v>
      </c>
      <c r="L48" s="564">
        <v>0</v>
      </c>
      <c r="M48" s="564">
        <v>2567</v>
      </c>
      <c r="N48" s="564">
        <v>0</v>
      </c>
      <c r="O48" s="564">
        <v>0</v>
      </c>
      <c r="P48" s="567">
        <v>906</v>
      </c>
      <c r="Q48" s="71">
        <f t="shared" si="28"/>
        <v>3473</v>
      </c>
      <c r="R48" s="18"/>
      <c r="S48" s="568">
        <v>7595</v>
      </c>
      <c r="T48" s="569">
        <v>7864</v>
      </c>
      <c r="U48" s="570">
        <v>3490</v>
      </c>
      <c r="V48" s="571">
        <v>3281</v>
      </c>
      <c r="W48" s="572">
        <v>0</v>
      </c>
      <c r="X48" s="572">
        <v>0</v>
      </c>
      <c r="Y48" s="573">
        <v>811</v>
      </c>
      <c r="Z48" s="30">
        <f t="shared" si="29"/>
        <v>23041</v>
      </c>
      <c r="AA48" s="417"/>
      <c r="AB48" s="574">
        <f t="shared" si="30"/>
        <v>29403</v>
      </c>
      <c r="AC48" s="46"/>
      <c r="AD48" s="444"/>
      <c r="AE48" s="386"/>
    </row>
    <row r="49" spans="1:64" s="560" customFormat="1" ht="16.5" customHeight="1" thickBot="1" x14ac:dyDescent="0.4">
      <c r="A49" s="575" t="s">
        <v>52</v>
      </c>
      <c r="B49" s="576"/>
      <c r="C49" s="576"/>
      <c r="D49" s="577">
        <f t="shared" ref="D49:AB49" si="31">D48/(D4+D9)</f>
        <v>0</v>
      </c>
      <c r="E49" s="578">
        <f t="shared" si="31"/>
        <v>0.3176414645744175</v>
      </c>
      <c r="F49" s="578">
        <f t="shared" si="31"/>
        <v>0</v>
      </c>
      <c r="G49" s="578">
        <f t="shared" si="31"/>
        <v>0</v>
      </c>
      <c r="H49" s="579">
        <f t="shared" si="31"/>
        <v>2.7972292191435768</v>
      </c>
      <c r="I49" s="580">
        <f t="shared" si="31"/>
        <v>0.51923076923076927</v>
      </c>
      <c r="J49" s="536"/>
      <c r="K49" s="577">
        <f t="shared" si="31"/>
        <v>0</v>
      </c>
      <c r="L49" s="578">
        <f t="shared" si="31"/>
        <v>0</v>
      </c>
      <c r="M49" s="578">
        <f t="shared" si="31"/>
        <v>2.4401140684410647</v>
      </c>
      <c r="N49" s="578">
        <f t="shared" si="31"/>
        <v>0</v>
      </c>
      <c r="O49" s="578">
        <f t="shared" si="31"/>
        <v>0</v>
      </c>
      <c r="P49" s="581">
        <f t="shared" si="31"/>
        <v>1.1766233766233767</v>
      </c>
      <c r="Q49" s="580">
        <f t="shared" si="31"/>
        <v>0.87547264935719682</v>
      </c>
      <c r="R49" s="18"/>
      <c r="S49" s="577">
        <f t="shared" si="31"/>
        <v>10.533980582524272</v>
      </c>
      <c r="T49" s="578">
        <f t="shared" si="31"/>
        <v>6.2861710631494807</v>
      </c>
      <c r="U49" s="578">
        <f t="shared" si="31"/>
        <v>3.9125560538116591</v>
      </c>
      <c r="V49" s="578">
        <f t="shared" si="31"/>
        <v>2.9638663053297201</v>
      </c>
      <c r="W49" s="578">
        <f t="shared" si="31"/>
        <v>0</v>
      </c>
      <c r="X49" s="578">
        <f t="shared" si="31"/>
        <v>0</v>
      </c>
      <c r="Y49" s="581">
        <f t="shared" si="31"/>
        <v>1.668724279835391</v>
      </c>
      <c r="Z49" s="580">
        <f t="shared" si="31"/>
        <v>4.0838355193193907</v>
      </c>
      <c r="AA49" s="417"/>
      <c r="AB49" s="582">
        <f t="shared" si="31"/>
        <v>1.9378501285177618</v>
      </c>
      <c r="AC49" s="46"/>
      <c r="AD49" s="444"/>
      <c r="AE49" s="386"/>
    </row>
    <row r="50" spans="1:64" x14ac:dyDescent="0.35">
      <c r="A50" s="583" t="s">
        <v>53</v>
      </c>
      <c r="B50" s="584"/>
      <c r="C50" s="584"/>
      <c r="D50" s="585">
        <v>10</v>
      </c>
      <c r="E50" s="359">
        <v>7</v>
      </c>
      <c r="F50" s="359">
        <v>0</v>
      </c>
      <c r="G50" s="586">
        <v>3</v>
      </c>
      <c r="H50" s="587">
        <v>3</v>
      </c>
      <c r="I50" s="508">
        <f>SUM(D50:H50)</f>
        <v>23</v>
      </c>
      <c r="J50" s="536"/>
      <c r="K50" s="588">
        <v>0</v>
      </c>
      <c r="L50" s="359">
        <v>0</v>
      </c>
      <c r="M50" s="359">
        <v>2</v>
      </c>
      <c r="N50" s="589">
        <v>3</v>
      </c>
      <c r="O50" s="589">
        <v>0</v>
      </c>
      <c r="P50" s="362">
        <v>5</v>
      </c>
      <c r="Q50" s="590">
        <f t="shared" si="28"/>
        <v>10</v>
      </c>
      <c r="R50" s="18"/>
      <c r="S50" s="364">
        <v>4</v>
      </c>
      <c r="T50" s="591">
        <v>10</v>
      </c>
      <c r="U50" s="365">
        <v>3</v>
      </c>
      <c r="V50" s="365">
        <v>7</v>
      </c>
      <c r="W50" s="359">
        <v>2</v>
      </c>
      <c r="X50" s="359">
        <v>9</v>
      </c>
      <c r="Y50" s="592">
        <v>7</v>
      </c>
      <c r="Z50" s="30">
        <f t="shared" ref="Z50:Z51" si="32">SUM(S50:Y50)</f>
        <v>42</v>
      </c>
      <c r="AA50" s="417"/>
      <c r="AB50" s="593">
        <f>I50+Q50+Z50</f>
        <v>75</v>
      </c>
      <c r="AD50" s="212"/>
    </row>
    <row r="51" spans="1:64" ht="17.25" customHeight="1" thickBot="1" x14ac:dyDescent="0.4">
      <c r="A51" s="372" t="s">
        <v>40</v>
      </c>
      <c r="B51" s="373"/>
      <c r="C51" s="373"/>
      <c r="D51" s="374">
        <v>217</v>
      </c>
      <c r="E51" s="93">
        <v>149</v>
      </c>
      <c r="F51" s="93">
        <v>0</v>
      </c>
      <c r="G51" s="376">
        <v>90</v>
      </c>
      <c r="H51" s="402">
        <v>83</v>
      </c>
      <c r="I51" s="403">
        <f>SUM(D51:H51)</f>
        <v>539</v>
      </c>
      <c r="J51" s="536"/>
      <c r="K51" s="594">
        <v>53</v>
      </c>
      <c r="L51" s="595">
        <v>0</v>
      </c>
      <c r="M51" s="596">
        <v>41</v>
      </c>
      <c r="N51" s="595">
        <v>54</v>
      </c>
      <c r="O51" s="595">
        <v>0</v>
      </c>
      <c r="P51" s="597">
        <v>32</v>
      </c>
      <c r="Q51" s="403">
        <f t="shared" si="28"/>
        <v>180</v>
      </c>
      <c r="R51" s="18"/>
      <c r="S51" s="598">
        <v>62</v>
      </c>
      <c r="T51" s="595">
        <v>102</v>
      </c>
      <c r="U51" s="599">
        <v>38</v>
      </c>
      <c r="V51" s="600">
        <v>54</v>
      </c>
      <c r="W51" s="595">
        <v>28</v>
      </c>
      <c r="X51" s="595">
        <v>57</v>
      </c>
      <c r="Y51" s="597">
        <v>53</v>
      </c>
      <c r="Z51" s="403">
        <f t="shared" si="32"/>
        <v>394</v>
      </c>
      <c r="AA51" s="417"/>
      <c r="AB51" s="96">
        <f>I51+Q51+Z51</f>
        <v>1113</v>
      </c>
      <c r="AD51" s="267"/>
    </row>
    <row r="52" spans="1:64" ht="16.5" customHeight="1" thickBot="1" x14ac:dyDescent="0.4">
      <c r="A52" s="601" t="s">
        <v>48</v>
      </c>
      <c r="B52" s="602"/>
      <c r="C52" s="602"/>
      <c r="D52" s="494">
        <f t="shared" ref="D52:I52" si="33">D51/D92</f>
        <v>0.29403794037940378</v>
      </c>
      <c r="E52" s="494">
        <f>E51/E92</f>
        <v>0.12648556876061121</v>
      </c>
      <c r="F52" s="494" t="e">
        <f>F51/F92</f>
        <v>#DIV/0!</v>
      </c>
      <c r="G52" s="494">
        <f t="shared" si="33"/>
        <v>0.15050167224080269</v>
      </c>
      <c r="H52" s="498">
        <f t="shared" si="33"/>
        <v>0.18993135011441648</v>
      </c>
      <c r="I52" s="496">
        <f t="shared" si="33"/>
        <v>0.18264994916977295</v>
      </c>
      <c r="J52" s="536"/>
      <c r="K52" s="493">
        <f t="shared" ref="K52:Z52" si="34">K51/K92</f>
        <v>9.0598290598290596E-2</v>
      </c>
      <c r="L52" s="494" t="e">
        <f t="shared" si="34"/>
        <v>#DIV/0!</v>
      </c>
      <c r="M52" s="494">
        <f t="shared" si="34"/>
        <v>7.550644567219153E-2</v>
      </c>
      <c r="N52" s="495">
        <f t="shared" si="34"/>
        <v>9.6774193548387094E-2</v>
      </c>
      <c r="O52" s="495" t="e">
        <f t="shared" si="34"/>
        <v>#DIV/0!</v>
      </c>
      <c r="P52" s="495">
        <f t="shared" si="34"/>
        <v>7.3732718894009217E-2</v>
      </c>
      <c r="Q52" s="496">
        <f t="shared" si="34"/>
        <v>8.4905660377358486E-2</v>
      </c>
      <c r="R52" s="18"/>
      <c r="S52" s="493">
        <f t="shared" si="34"/>
        <v>0.15776081424936386</v>
      </c>
      <c r="T52" s="494">
        <f t="shared" si="34"/>
        <v>0.15338345864661654</v>
      </c>
      <c r="U52" s="494">
        <f t="shared" si="34"/>
        <v>7.6152304609218444E-2</v>
      </c>
      <c r="V52" s="498">
        <f t="shared" si="34"/>
        <v>9.2624356775300176E-2</v>
      </c>
      <c r="W52" s="495">
        <f t="shared" si="34"/>
        <v>6.6193853427895979E-2</v>
      </c>
      <c r="X52" s="494">
        <f t="shared" si="34"/>
        <v>0.17981072555205047</v>
      </c>
      <c r="Y52" s="498">
        <f t="shared" si="34"/>
        <v>0.1906474820143885</v>
      </c>
      <c r="Z52" s="496">
        <f t="shared" si="34"/>
        <v>0.12476250791640278</v>
      </c>
      <c r="AA52" s="417"/>
      <c r="AB52" s="496">
        <f>AB51/AB92</f>
        <v>0.13525337222019687</v>
      </c>
    </row>
    <row r="53" spans="1:64" x14ac:dyDescent="0.35">
      <c r="A53" s="353" t="s">
        <v>54</v>
      </c>
      <c r="B53" s="354"/>
      <c r="C53" s="354"/>
      <c r="D53" s="603">
        <v>62</v>
      </c>
      <c r="E53" s="136">
        <v>133</v>
      </c>
      <c r="F53" s="136">
        <v>0</v>
      </c>
      <c r="G53" s="604">
        <v>97.4</v>
      </c>
      <c r="H53" s="355">
        <v>38</v>
      </c>
      <c r="I53" s="416">
        <f t="shared" ref="I53:I63" si="35">SUM(D53:H53)</f>
        <v>330.4</v>
      </c>
      <c r="J53" s="536"/>
      <c r="K53" s="588">
        <v>78</v>
      </c>
      <c r="L53" s="359">
        <v>0</v>
      </c>
      <c r="M53" s="359">
        <v>36</v>
      </c>
      <c r="N53" s="605">
        <v>128</v>
      </c>
      <c r="O53" s="605">
        <v>0</v>
      </c>
      <c r="P53" s="606">
        <v>57</v>
      </c>
      <c r="Q53" s="447">
        <f t="shared" si="28"/>
        <v>299</v>
      </c>
      <c r="R53" s="18"/>
      <c r="S53" s="364">
        <v>33</v>
      </c>
      <c r="T53" s="359">
        <v>78</v>
      </c>
      <c r="U53" s="365">
        <v>111</v>
      </c>
      <c r="V53" s="365">
        <v>83</v>
      </c>
      <c r="W53" s="359">
        <v>88</v>
      </c>
      <c r="X53" s="359">
        <v>53</v>
      </c>
      <c r="Y53" s="592">
        <v>62</v>
      </c>
      <c r="Z53" s="125">
        <f t="shared" ref="Z53:Z54" si="36">SUM(S53:Y53)</f>
        <v>508</v>
      </c>
      <c r="AA53" s="417"/>
      <c r="AB53" s="138">
        <f>I53+Q53+Z53</f>
        <v>1137.4000000000001</v>
      </c>
    </row>
    <row r="54" spans="1:64" ht="15" thickBot="1" x14ac:dyDescent="0.4">
      <c r="A54" s="372" t="s">
        <v>55</v>
      </c>
      <c r="B54" s="373"/>
      <c r="C54" s="373"/>
      <c r="D54" s="607">
        <v>1807</v>
      </c>
      <c r="E54" s="375">
        <v>2329</v>
      </c>
      <c r="F54" s="375">
        <v>0</v>
      </c>
      <c r="G54" s="608">
        <v>1200.8</v>
      </c>
      <c r="H54" s="376">
        <v>726</v>
      </c>
      <c r="I54" s="83">
        <f t="shared" si="35"/>
        <v>6062.8</v>
      </c>
      <c r="J54" s="536"/>
      <c r="K54" s="609">
        <v>1152</v>
      </c>
      <c r="L54" s="94">
        <v>0</v>
      </c>
      <c r="M54" s="94">
        <v>1036</v>
      </c>
      <c r="N54" s="94">
        <v>1673</v>
      </c>
      <c r="O54" s="94">
        <v>0</v>
      </c>
      <c r="P54" s="86">
        <v>842</v>
      </c>
      <c r="Q54" s="83">
        <f t="shared" si="28"/>
        <v>4703</v>
      </c>
      <c r="R54" s="18"/>
      <c r="S54" s="384">
        <v>429</v>
      </c>
      <c r="T54" s="93">
        <v>866</v>
      </c>
      <c r="U54" s="385">
        <v>711</v>
      </c>
      <c r="V54" s="385">
        <v>1628</v>
      </c>
      <c r="W54" s="93">
        <v>1147</v>
      </c>
      <c r="X54" s="93">
        <v>520</v>
      </c>
      <c r="Y54" s="95">
        <v>435</v>
      </c>
      <c r="Z54" s="403">
        <f t="shared" si="36"/>
        <v>5736</v>
      </c>
      <c r="AA54" s="417"/>
      <c r="AB54" s="96">
        <f>I54+Q54+Z54</f>
        <v>16501.8</v>
      </c>
      <c r="AD54" s="267"/>
    </row>
    <row r="55" spans="1:64" s="615" customFormat="1" ht="16.5" customHeight="1" thickBot="1" x14ac:dyDescent="0.4">
      <c r="A55" s="610" t="s">
        <v>56</v>
      </c>
      <c r="B55" s="611"/>
      <c r="C55" s="611"/>
      <c r="D55" s="612">
        <v>2</v>
      </c>
      <c r="E55" s="204">
        <v>3</v>
      </c>
      <c r="F55" s="204">
        <v>0</v>
      </c>
      <c r="G55" s="203">
        <v>0</v>
      </c>
      <c r="H55" s="613">
        <v>0</v>
      </c>
      <c r="I55" s="200">
        <f t="shared" si="35"/>
        <v>5</v>
      </c>
      <c r="J55" s="536"/>
      <c r="K55" s="612">
        <v>6</v>
      </c>
      <c r="L55" s="204">
        <v>0</v>
      </c>
      <c r="M55" s="204">
        <v>0</v>
      </c>
      <c r="N55" s="204">
        <v>0</v>
      </c>
      <c r="O55" s="203">
        <v>0</v>
      </c>
      <c r="P55" s="613">
        <v>0</v>
      </c>
      <c r="Q55" s="200">
        <f>SUM(K55:P55)</f>
        <v>6</v>
      </c>
      <c r="R55" s="18"/>
      <c r="S55" s="612">
        <v>0</v>
      </c>
      <c r="T55" s="203">
        <v>0</v>
      </c>
      <c r="U55" s="203">
        <v>0</v>
      </c>
      <c r="V55" s="203">
        <v>2</v>
      </c>
      <c r="W55" s="203">
        <v>0</v>
      </c>
      <c r="X55" s="203">
        <v>0</v>
      </c>
      <c r="Y55" s="613">
        <v>0</v>
      </c>
      <c r="Z55" s="200">
        <f>SUM(S55:Y55)</f>
        <v>2</v>
      </c>
      <c r="AA55" s="417"/>
      <c r="AB55" s="614">
        <f>I55+Q55+Z55</f>
        <v>13</v>
      </c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</row>
    <row r="56" spans="1:64" ht="19.5" customHeight="1" x14ac:dyDescent="0.35">
      <c r="A56" s="616" t="s">
        <v>57</v>
      </c>
      <c r="B56" s="617"/>
      <c r="C56" s="617"/>
      <c r="D56" s="618">
        <v>25</v>
      </c>
      <c r="E56" s="619">
        <v>35</v>
      </c>
      <c r="F56" s="619">
        <v>0</v>
      </c>
      <c r="G56" s="620">
        <v>15</v>
      </c>
      <c r="H56" s="422">
        <v>14</v>
      </c>
      <c r="I56" s="125">
        <f t="shared" si="35"/>
        <v>89</v>
      </c>
      <c r="J56" s="536"/>
      <c r="K56" s="418">
        <v>20</v>
      </c>
      <c r="L56" s="419">
        <v>0</v>
      </c>
      <c r="M56" s="419">
        <v>12</v>
      </c>
      <c r="N56" s="621">
        <v>18</v>
      </c>
      <c r="O56" s="621">
        <v>0</v>
      </c>
      <c r="P56" s="622">
        <v>15</v>
      </c>
      <c r="Q56" s="623">
        <f t="shared" ref="Q56:Q66" si="37">SUM(K56:P56)</f>
        <v>65</v>
      </c>
      <c r="R56" s="18"/>
      <c r="S56" s="624">
        <v>25</v>
      </c>
      <c r="T56" s="625">
        <v>51</v>
      </c>
      <c r="U56" s="626">
        <v>32</v>
      </c>
      <c r="V56" s="626">
        <v>16</v>
      </c>
      <c r="W56" s="625">
        <v>44</v>
      </c>
      <c r="X56" s="625">
        <v>25</v>
      </c>
      <c r="Y56" s="619">
        <v>18</v>
      </c>
      <c r="Z56" s="627">
        <f t="shared" ref="Z56:Z58" si="38">SUM(S56:Y56)</f>
        <v>211</v>
      </c>
      <c r="AA56" s="417"/>
      <c r="AB56" s="426">
        <f t="shared" ref="AB56:AB63" si="39">I56+Q56+Z56</f>
        <v>365</v>
      </c>
    </row>
    <row r="57" spans="1:64" ht="19.5" customHeight="1" thickBot="1" x14ac:dyDescent="0.4">
      <c r="A57" s="628" t="s">
        <v>40</v>
      </c>
      <c r="B57" s="629"/>
      <c r="C57" s="629"/>
      <c r="D57" s="630">
        <v>578</v>
      </c>
      <c r="E57" s="631">
        <v>590</v>
      </c>
      <c r="F57" s="631">
        <v>0</v>
      </c>
      <c r="G57" s="632">
        <v>279</v>
      </c>
      <c r="H57" s="633">
        <v>282</v>
      </c>
      <c r="I57" s="634">
        <f t="shared" si="35"/>
        <v>1729</v>
      </c>
      <c r="J57" s="536"/>
      <c r="K57" s="635">
        <v>317</v>
      </c>
      <c r="L57" s="636">
        <v>0</v>
      </c>
      <c r="M57" s="636">
        <v>289</v>
      </c>
      <c r="N57" s="636">
        <v>233</v>
      </c>
      <c r="O57" s="636">
        <v>0</v>
      </c>
      <c r="P57" s="633">
        <v>199</v>
      </c>
      <c r="Q57" s="634">
        <f t="shared" si="37"/>
        <v>1038</v>
      </c>
      <c r="R57" s="18"/>
      <c r="S57" s="637">
        <v>272</v>
      </c>
      <c r="T57" s="638">
        <v>426</v>
      </c>
      <c r="U57" s="639">
        <v>329</v>
      </c>
      <c r="V57" s="639">
        <v>349</v>
      </c>
      <c r="W57" s="638">
        <v>222</v>
      </c>
      <c r="X57" s="638">
        <v>237</v>
      </c>
      <c r="Y57" s="631">
        <v>144</v>
      </c>
      <c r="Z57" s="640">
        <f t="shared" si="38"/>
        <v>1979</v>
      </c>
      <c r="AA57" s="417"/>
      <c r="AB57" s="641">
        <f t="shared" si="39"/>
        <v>4746</v>
      </c>
    </row>
    <row r="58" spans="1:64" s="23" customFormat="1" ht="17.25" customHeight="1" thickBot="1" x14ac:dyDescent="0.4">
      <c r="A58" s="642" t="s">
        <v>58</v>
      </c>
      <c r="B58" s="643"/>
      <c r="C58" s="644"/>
      <c r="D58" s="645">
        <v>30</v>
      </c>
      <c r="E58" s="646">
        <v>44</v>
      </c>
      <c r="F58" s="646">
        <v>0</v>
      </c>
      <c r="G58" s="646">
        <v>20</v>
      </c>
      <c r="H58" s="647">
        <v>46</v>
      </c>
      <c r="I58" s="648">
        <f t="shared" si="35"/>
        <v>140</v>
      </c>
      <c r="J58" s="536"/>
      <c r="K58" s="649">
        <v>29</v>
      </c>
      <c r="L58" s="646">
        <v>5</v>
      </c>
      <c r="M58" s="646">
        <v>44</v>
      </c>
      <c r="N58" s="646">
        <v>22</v>
      </c>
      <c r="O58" s="646">
        <v>7</v>
      </c>
      <c r="P58" s="647">
        <v>32</v>
      </c>
      <c r="Q58" s="648">
        <f t="shared" si="37"/>
        <v>139</v>
      </c>
      <c r="R58" s="18"/>
      <c r="S58" s="649">
        <v>27</v>
      </c>
      <c r="T58" s="646">
        <v>24</v>
      </c>
      <c r="U58" s="646">
        <v>17</v>
      </c>
      <c r="V58" s="646">
        <v>30</v>
      </c>
      <c r="W58" s="646">
        <v>13</v>
      </c>
      <c r="X58" s="646">
        <v>11</v>
      </c>
      <c r="Y58" s="650">
        <v>15</v>
      </c>
      <c r="Z58" s="648">
        <f t="shared" si="38"/>
        <v>137</v>
      </c>
      <c r="AA58" s="417"/>
      <c r="AB58" s="651">
        <f t="shared" si="39"/>
        <v>416</v>
      </c>
      <c r="AC58" s="652"/>
      <c r="AD58" s="653"/>
    </row>
    <row r="59" spans="1:64" x14ac:dyDescent="0.35">
      <c r="A59" s="654" t="s">
        <v>59</v>
      </c>
      <c r="B59" s="655"/>
      <c r="C59" s="656"/>
      <c r="D59" s="657">
        <v>0</v>
      </c>
      <c r="E59" s="359">
        <v>0</v>
      </c>
      <c r="F59" s="359">
        <v>0</v>
      </c>
      <c r="G59" s="586">
        <v>1</v>
      </c>
      <c r="H59" s="592">
        <v>0</v>
      </c>
      <c r="I59" s="30">
        <f t="shared" si="35"/>
        <v>1</v>
      </c>
      <c r="J59" s="536"/>
      <c r="K59" s="588">
        <v>0</v>
      </c>
      <c r="L59" s="359">
        <v>0</v>
      </c>
      <c r="M59" s="359">
        <v>0</v>
      </c>
      <c r="N59" s="359">
        <v>0</v>
      </c>
      <c r="O59" s="359">
        <v>0</v>
      </c>
      <c r="P59" s="362">
        <v>0</v>
      </c>
      <c r="Q59" s="590">
        <f t="shared" si="37"/>
        <v>0</v>
      </c>
      <c r="R59" s="18"/>
      <c r="S59" s="658">
        <v>4</v>
      </c>
      <c r="T59" s="659">
        <v>1</v>
      </c>
      <c r="U59" s="659">
        <v>6</v>
      </c>
      <c r="V59" s="359">
        <v>0</v>
      </c>
      <c r="W59" s="359">
        <v>0</v>
      </c>
      <c r="X59" s="359">
        <v>0</v>
      </c>
      <c r="Y59" s="660">
        <v>0</v>
      </c>
      <c r="Z59" s="30">
        <f>SUM(S59:Y59)</f>
        <v>11</v>
      </c>
      <c r="AA59" s="417"/>
      <c r="AB59" s="593">
        <f t="shared" si="39"/>
        <v>12</v>
      </c>
      <c r="AC59" s="212"/>
      <c r="AD59" s="212"/>
    </row>
    <row r="60" spans="1:64" ht="16.5" customHeight="1" thickBot="1" x14ac:dyDescent="0.4">
      <c r="A60" s="661" t="s">
        <v>40</v>
      </c>
      <c r="B60" s="662"/>
      <c r="C60" s="663"/>
      <c r="D60" s="664">
        <v>23</v>
      </c>
      <c r="E60" s="665">
        <v>43</v>
      </c>
      <c r="F60" s="665">
        <v>6</v>
      </c>
      <c r="G60" s="666">
        <v>14</v>
      </c>
      <c r="H60" s="665">
        <v>52</v>
      </c>
      <c r="I60" s="667">
        <f t="shared" si="35"/>
        <v>138</v>
      </c>
      <c r="J60" s="536"/>
      <c r="K60" s="664">
        <v>18</v>
      </c>
      <c r="L60" s="666">
        <v>2</v>
      </c>
      <c r="M60" s="666">
        <v>26</v>
      </c>
      <c r="N60" s="666">
        <v>12</v>
      </c>
      <c r="O60" s="666">
        <v>6</v>
      </c>
      <c r="P60" s="666">
        <v>18</v>
      </c>
      <c r="Q60" s="667">
        <f t="shared" si="37"/>
        <v>82</v>
      </c>
      <c r="R60" s="18"/>
      <c r="S60" s="668">
        <v>37</v>
      </c>
      <c r="T60" s="669">
        <v>24</v>
      </c>
      <c r="U60" s="670">
        <v>14</v>
      </c>
      <c r="V60" s="666">
        <v>14</v>
      </c>
      <c r="W60" s="666">
        <v>7</v>
      </c>
      <c r="X60" s="665">
        <v>17</v>
      </c>
      <c r="Y60" s="666">
        <v>7</v>
      </c>
      <c r="Z60" s="667">
        <f>SUM(S60:Y60)</f>
        <v>120</v>
      </c>
      <c r="AA60" s="671"/>
      <c r="AB60" s="672">
        <f t="shared" si="39"/>
        <v>340</v>
      </c>
      <c r="AC60" s="673"/>
      <c r="AD60" s="212"/>
      <c r="AE60" s="674"/>
      <c r="AF60" s="675"/>
      <c r="AH60" s="673"/>
    </row>
    <row r="61" spans="1:64" s="23" customFormat="1" ht="17.25" customHeight="1" thickBot="1" x14ac:dyDescent="0.4">
      <c r="A61" s="676" t="s">
        <v>60</v>
      </c>
      <c r="B61" s="643"/>
      <c r="C61" s="644"/>
      <c r="D61" s="645">
        <v>30</v>
      </c>
      <c r="E61" s="646">
        <v>48</v>
      </c>
      <c r="F61" s="646">
        <v>0</v>
      </c>
      <c r="G61" s="646">
        <v>16</v>
      </c>
      <c r="H61" s="647">
        <v>22</v>
      </c>
      <c r="I61" s="648">
        <f t="shared" si="35"/>
        <v>116</v>
      </c>
      <c r="J61" s="536"/>
      <c r="K61" s="649">
        <v>24</v>
      </c>
      <c r="L61" s="646">
        <v>2</v>
      </c>
      <c r="M61" s="646">
        <v>29</v>
      </c>
      <c r="N61" s="646">
        <v>15</v>
      </c>
      <c r="O61" s="646">
        <v>2</v>
      </c>
      <c r="P61" s="647">
        <v>24</v>
      </c>
      <c r="Q61" s="648">
        <f t="shared" si="37"/>
        <v>96</v>
      </c>
      <c r="R61" s="18"/>
      <c r="S61" s="649">
        <v>20</v>
      </c>
      <c r="T61" s="646">
        <v>21</v>
      </c>
      <c r="U61" s="646">
        <v>11</v>
      </c>
      <c r="V61" s="646">
        <v>27</v>
      </c>
      <c r="W61" s="646">
        <v>9</v>
      </c>
      <c r="X61" s="646">
        <v>11</v>
      </c>
      <c r="Y61" s="650">
        <v>11</v>
      </c>
      <c r="Z61" s="648">
        <f>SUM(S61:Y61)</f>
        <v>110</v>
      </c>
      <c r="AA61" s="417"/>
      <c r="AB61" s="651">
        <f t="shared" si="39"/>
        <v>322</v>
      </c>
      <c r="AC61" s="652"/>
      <c r="AD61" s="653"/>
      <c r="AJ61" s="677"/>
    </row>
    <row r="62" spans="1:64" ht="15.75" customHeight="1" x14ac:dyDescent="0.35">
      <c r="A62" s="678" t="s">
        <v>61</v>
      </c>
      <c r="B62" s="655"/>
      <c r="C62" s="656"/>
      <c r="D62" s="657">
        <v>1</v>
      </c>
      <c r="E62" s="679">
        <v>6</v>
      </c>
      <c r="F62" s="679">
        <v>0</v>
      </c>
      <c r="G62" s="586">
        <v>2</v>
      </c>
      <c r="H62" s="680">
        <v>1</v>
      </c>
      <c r="I62" s="30">
        <f t="shared" si="35"/>
        <v>10</v>
      </c>
      <c r="J62" s="536"/>
      <c r="K62" s="681">
        <v>1</v>
      </c>
      <c r="L62" s="359">
        <v>0</v>
      </c>
      <c r="M62" s="359">
        <v>1</v>
      </c>
      <c r="N62" s="359">
        <v>0</v>
      </c>
      <c r="O62" s="359">
        <v>0</v>
      </c>
      <c r="P62" s="362">
        <v>0</v>
      </c>
      <c r="Q62" s="590">
        <f t="shared" si="37"/>
        <v>2</v>
      </c>
      <c r="R62" s="18"/>
      <c r="S62" s="682">
        <v>2</v>
      </c>
      <c r="T62" s="683">
        <v>0</v>
      </c>
      <c r="U62" s="684">
        <v>3</v>
      </c>
      <c r="V62" s="359">
        <v>3</v>
      </c>
      <c r="W62" s="359">
        <v>1</v>
      </c>
      <c r="X62" s="359">
        <v>0</v>
      </c>
      <c r="Y62" s="660">
        <v>0</v>
      </c>
      <c r="Z62" s="30">
        <f>SUM(S62:Y62)</f>
        <v>9</v>
      </c>
      <c r="AA62" s="417"/>
      <c r="AB62" s="685">
        <f t="shared" si="39"/>
        <v>21</v>
      </c>
      <c r="AC62" s="212"/>
      <c r="AD62" s="212"/>
      <c r="AH62" s="212"/>
    </row>
    <row r="63" spans="1:64" ht="16.5" customHeight="1" thickBot="1" x14ac:dyDescent="0.4">
      <c r="A63" s="686" t="s">
        <v>40</v>
      </c>
      <c r="B63" s="325"/>
      <c r="C63" s="326"/>
      <c r="D63" s="687">
        <v>33</v>
      </c>
      <c r="E63" s="688">
        <v>61</v>
      </c>
      <c r="F63" s="688">
        <v>1</v>
      </c>
      <c r="G63" s="688">
        <v>18</v>
      </c>
      <c r="H63" s="689">
        <v>16</v>
      </c>
      <c r="I63" s="690">
        <f t="shared" si="35"/>
        <v>129</v>
      </c>
      <c r="J63" s="691"/>
      <c r="K63" s="692">
        <v>20</v>
      </c>
      <c r="L63" s="688">
        <v>2</v>
      </c>
      <c r="M63" s="689">
        <v>19</v>
      </c>
      <c r="N63" s="689">
        <v>12</v>
      </c>
      <c r="O63" s="689">
        <v>1</v>
      </c>
      <c r="P63" s="689">
        <v>20</v>
      </c>
      <c r="Q63" s="693">
        <f t="shared" si="37"/>
        <v>74</v>
      </c>
      <c r="R63" s="694"/>
      <c r="S63" s="695">
        <v>14</v>
      </c>
      <c r="T63" s="696">
        <v>24</v>
      </c>
      <c r="U63" s="696">
        <v>14</v>
      </c>
      <c r="V63" s="697">
        <v>25</v>
      </c>
      <c r="W63" s="696">
        <v>10</v>
      </c>
      <c r="X63" s="697">
        <v>10</v>
      </c>
      <c r="Y63" s="689">
        <v>8</v>
      </c>
      <c r="Z63" s="693">
        <f>SUM(S63:Y63)</f>
        <v>105</v>
      </c>
      <c r="AA63" s="671"/>
      <c r="AB63" s="698">
        <f t="shared" si="39"/>
        <v>308</v>
      </c>
      <c r="AC63" s="699"/>
      <c r="AD63" s="700"/>
      <c r="AE63" s="701"/>
      <c r="AF63" s="675"/>
      <c r="AH63" s="699"/>
    </row>
    <row r="64" spans="1:64" ht="4.5" customHeight="1" thickBot="1" x14ac:dyDescent="0.4">
      <c r="A64" s="702"/>
      <c r="B64" s="703"/>
      <c r="C64" s="704"/>
      <c r="D64" s="705"/>
      <c r="E64" s="705"/>
      <c r="F64" s="705"/>
      <c r="G64" s="706"/>
      <c r="H64" s="707"/>
      <c r="I64" s="708"/>
      <c r="J64" s="536"/>
      <c r="K64" s="709"/>
      <c r="L64" s="705"/>
      <c r="M64" s="705"/>
      <c r="N64" s="705"/>
      <c r="O64" s="706"/>
      <c r="P64" s="707"/>
      <c r="Q64" s="708"/>
      <c r="R64" s="18"/>
      <c r="S64" s="710"/>
      <c r="T64" s="705"/>
      <c r="U64" s="705"/>
      <c r="V64" s="705"/>
      <c r="W64" s="705"/>
      <c r="X64" s="705"/>
      <c r="Y64" s="711"/>
      <c r="Z64" s="708"/>
      <c r="AA64" s="417"/>
      <c r="AB64" s="712"/>
    </row>
    <row r="65" spans="1:62" ht="16.5" customHeight="1" thickBot="1" x14ac:dyDescent="0.4">
      <c r="A65" s="713" t="s">
        <v>62</v>
      </c>
      <c r="B65" s="714"/>
      <c r="C65" s="715"/>
      <c r="D65" s="716">
        <v>214805</v>
      </c>
      <c r="E65" s="717">
        <v>59530</v>
      </c>
      <c r="F65" s="717">
        <v>56211</v>
      </c>
      <c r="G65" s="718">
        <v>103692</v>
      </c>
      <c r="H65" s="719">
        <v>43070</v>
      </c>
      <c r="I65" s="720">
        <f t="shared" ref="I65:I70" si="40">SUM(D65:H65)</f>
        <v>477308</v>
      </c>
      <c r="J65" s="536"/>
      <c r="K65" s="716">
        <v>0</v>
      </c>
      <c r="L65" s="718">
        <v>10940</v>
      </c>
      <c r="M65" s="718">
        <v>0</v>
      </c>
      <c r="N65" s="718">
        <v>95073</v>
      </c>
      <c r="O65" s="718"/>
      <c r="P65" s="721"/>
      <c r="Q65" s="720">
        <f t="shared" si="37"/>
        <v>106013</v>
      </c>
      <c r="R65" s="18"/>
      <c r="S65" s="716">
        <v>42267</v>
      </c>
      <c r="T65" s="718"/>
      <c r="U65" s="718">
        <v>67120</v>
      </c>
      <c r="V65" s="717">
        <v>185648</v>
      </c>
      <c r="W65" s="718">
        <v>57050</v>
      </c>
      <c r="X65" s="718"/>
      <c r="Y65" s="719"/>
      <c r="Z65" s="720">
        <f>SUM(S65:Y65)</f>
        <v>352085</v>
      </c>
      <c r="AA65" s="417"/>
      <c r="AB65" s="722">
        <f>I65+Q65+Z65</f>
        <v>935406</v>
      </c>
    </row>
    <row r="66" spans="1:62" ht="19.5" customHeight="1" thickBot="1" x14ac:dyDescent="0.4">
      <c r="A66" s="713" t="s">
        <v>63</v>
      </c>
      <c r="B66" s="714"/>
      <c r="C66" s="715"/>
      <c r="D66" s="723"/>
      <c r="E66" s="724">
        <v>385280</v>
      </c>
      <c r="F66" s="724"/>
      <c r="G66" s="724">
        <v>128140</v>
      </c>
      <c r="H66" s="725">
        <v>112875</v>
      </c>
      <c r="I66" s="726">
        <f t="shared" si="40"/>
        <v>626295</v>
      </c>
      <c r="J66" s="536"/>
      <c r="K66" s="727">
        <v>0</v>
      </c>
      <c r="L66" s="724">
        <v>0</v>
      </c>
      <c r="M66" s="724">
        <v>0</v>
      </c>
      <c r="N66" s="724">
        <v>176192.5</v>
      </c>
      <c r="O66" s="724"/>
      <c r="P66" s="725"/>
      <c r="Q66" s="726">
        <f t="shared" si="37"/>
        <v>176192.5</v>
      </c>
      <c r="R66" s="728"/>
      <c r="S66" s="723"/>
      <c r="T66" s="724"/>
      <c r="U66" s="729">
        <v>112123</v>
      </c>
      <c r="V66" s="730">
        <v>144157</v>
      </c>
      <c r="W66" s="724">
        <v>64070</v>
      </c>
      <c r="X66" s="724"/>
      <c r="Y66" s="725"/>
      <c r="Z66" s="726">
        <f>SUM(S66:Y66)</f>
        <v>320350</v>
      </c>
      <c r="AA66" s="417"/>
      <c r="AB66" s="731">
        <f>I66+Q66+Z66</f>
        <v>1122837.5</v>
      </c>
      <c r="AC66" s="674"/>
    </row>
    <row r="67" spans="1:62" ht="18" customHeight="1" x14ac:dyDescent="0.35">
      <c r="A67" s="732" t="s">
        <v>64</v>
      </c>
      <c r="B67" s="733"/>
      <c r="C67" s="734"/>
      <c r="D67" s="735">
        <v>0</v>
      </c>
      <c r="E67" s="736">
        <v>0</v>
      </c>
      <c r="F67" s="736">
        <v>0</v>
      </c>
      <c r="G67" s="736">
        <v>0</v>
      </c>
      <c r="H67" s="737">
        <v>0</v>
      </c>
      <c r="I67" s="125">
        <f t="shared" si="40"/>
        <v>0</v>
      </c>
      <c r="J67" s="536"/>
      <c r="K67" s="738">
        <v>0</v>
      </c>
      <c r="L67" s="739">
        <v>0</v>
      </c>
      <c r="M67" s="739">
        <v>0</v>
      </c>
      <c r="N67" s="739"/>
      <c r="O67" s="739"/>
      <c r="P67" s="737">
        <v>0</v>
      </c>
      <c r="Q67" s="125">
        <f t="shared" ref="Q67:Q70" si="41">SUM(K67:P67)</f>
        <v>0</v>
      </c>
      <c r="R67" s="18"/>
      <c r="S67" s="735">
        <v>0</v>
      </c>
      <c r="T67" s="740">
        <v>0</v>
      </c>
      <c r="U67" s="741">
        <v>0</v>
      </c>
      <c r="V67" s="741">
        <v>0</v>
      </c>
      <c r="W67" s="741">
        <v>0</v>
      </c>
      <c r="X67" s="741">
        <v>0</v>
      </c>
      <c r="Y67" s="742">
        <v>0</v>
      </c>
      <c r="Z67" s="743">
        <f t="shared" ref="Z67:Z70" si="42">SUM(S67:Y67)</f>
        <v>0</v>
      </c>
      <c r="AA67" s="417"/>
      <c r="AB67" s="744">
        <f>I67+Q67+Z67</f>
        <v>0</v>
      </c>
      <c r="AC67" s="745"/>
    </row>
    <row r="68" spans="1:62" ht="19.5" customHeight="1" thickBot="1" x14ac:dyDescent="0.4">
      <c r="A68" s="746" t="s">
        <v>65</v>
      </c>
      <c r="B68" s="747"/>
      <c r="C68" s="748"/>
      <c r="D68" s="749">
        <v>0</v>
      </c>
      <c r="E68" s="750">
        <v>0</v>
      </c>
      <c r="F68" s="750">
        <v>0</v>
      </c>
      <c r="G68" s="750">
        <v>0</v>
      </c>
      <c r="H68" s="751">
        <v>0</v>
      </c>
      <c r="I68" s="752">
        <f t="shared" si="40"/>
        <v>0</v>
      </c>
      <c r="J68" s="536"/>
      <c r="K68" s="753">
        <v>0</v>
      </c>
      <c r="L68" s="754">
        <v>0</v>
      </c>
      <c r="M68" s="754">
        <v>0</v>
      </c>
      <c r="N68" s="754"/>
      <c r="O68" s="754"/>
      <c r="P68" s="751">
        <v>0</v>
      </c>
      <c r="Q68" s="752">
        <f t="shared" si="41"/>
        <v>0</v>
      </c>
      <c r="R68" s="18"/>
      <c r="S68" s="749">
        <v>0</v>
      </c>
      <c r="T68" s="750">
        <v>0</v>
      </c>
      <c r="U68" s="755">
        <v>0</v>
      </c>
      <c r="V68" s="755">
        <v>0</v>
      </c>
      <c r="W68" s="755">
        <v>0</v>
      </c>
      <c r="X68" s="755">
        <v>0</v>
      </c>
      <c r="Y68" s="756">
        <v>0</v>
      </c>
      <c r="Z68" s="580">
        <f t="shared" si="42"/>
        <v>0</v>
      </c>
      <c r="AA68" s="417"/>
      <c r="AB68" s="757">
        <f t="shared" ref="AB68:AB70" si="43">I68+Q68+Z68</f>
        <v>0</v>
      </c>
      <c r="AP68" s="46" t="s">
        <v>66</v>
      </c>
      <c r="AQ68" s="46" t="s">
        <v>67</v>
      </c>
      <c r="AR68" s="46" t="s">
        <v>68</v>
      </c>
    </row>
    <row r="69" spans="1:62" ht="18" customHeight="1" x14ac:dyDescent="0.35">
      <c r="A69" s="758" t="s">
        <v>69</v>
      </c>
      <c r="B69" s="759"/>
      <c r="C69" s="760"/>
      <c r="D69" s="761">
        <v>0</v>
      </c>
      <c r="E69" s="762">
        <v>0</v>
      </c>
      <c r="F69" s="762">
        <v>0</v>
      </c>
      <c r="G69" s="763">
        <v>0</v>
      </c>
      <c r="H69" s="764">
        <v>0</v>
      </c>
      <c r="I69" s="765">
        <f t="shared" si="40"/>
        <v>0</v>
      </c>
      <c r="J69" s="536"/>
      <c r="K69" s="766">
        <v>1</v>
      </c>
      <c r="L69" s="767">
        <v>0</v>
      </c>
      <c r="M69" s="767">
        <v>0</v>
      </c>
      <c r="N69" s="767"/>
      <c r="O69" s="767"/>
      <c r="P69" s="764"/>
      <c r="Q69" s="765">
        <f t="shared" si="41"/>
        <v>1</v>
      </c>
      <c r="R69" s="18"/>
      <c r="S69" s="735">
        <v>0</v>
      </c>
      <c r="T69" s="740">
        <v>0</v>
      </c>
      <c r="U69" s="741">
        <v>0</v>
      </c>
      <c r="V69" s="741">
        <v>0</v>
      </c>
      <c r="W69" s="741">
        <v>0</v>
      </c>
      <c r="X69" s="741">
        <v>0</v>
      </c>
      <c r="Y69" s="768">
        <v>3</v>
      </c>
      <c r="Z69" s="769">
        <f t="shared" si="42"/>
        <v>3</v>
      </c>
      <c r="AA69" s="417"/>
      <c r="AB69" s="770">
        <f t="shared" si="43"/>
        <v>4</v>
      </c>
      <c r="AC69" s="771"/>
      <c r="AP69" s="772">
        <v>46296</v>
      </c>
      <c r="AQ69" s="772">
        <v>46326</v>
      </c>
      <c r="AR69" s="772">
        <v>46297</v>
      </c>
    </row>
    <row r="70" spans="1:62" ht="18" customHeight="1" thickBot="1" x14ac:dyDescent="0.4">
      <c r="A70" s="773" t="s">
        <v>70</v>
      </c>
      <c r="B70" s="774"/>
      <c r="C70" s="775"/>
      <c r="D70" s="776">
        <v>3</v>
      </c>
      <c r="E70" s="777">
        <v>3</v>
      </c>
      <c r="F70" s="777">
        <v>0</v>
      </c>
      <c r="G70" s="778">
        <v>1</v>
      </c>
      <c r="H70" s="779">
        <v>2</v>
      </c>
      <c r="I70" s="780">
        <f t="shared" si="40"/>
        <v>9</v>
      </c>
      <c r="J70" s="536"/>
      <c r="K70" s="781">
        <v>4</v>
      </c>
      <c r="L70" s="782">
        <v>0</v>
      </c>
      <c r="M70" s="782">
        <v>4</v>
      </c>
      <c r="N70" s="782">
        <v>0</v>
      </c>
      <c r="O70" s="782"/>
      <c r="P70" s="783">
        <v>2</v>
      </c>
      <c r="Q70" s="780">
        <f t="shared" si="41"/>
        <v>10</v>
      </c>
      <c r="R70" s="18"/>
      <c r="S70" s="784">
        <v>2</v>
      </c>
      <c r="T70" s="778">
        <v>0</v>
      </c>
      <c r="U70" s="785">
        <v>0</v>
      </c>
      <c r="V70" s="785">
        <v>7</v>
      </c>
      <c r="W70" s="785">
        <v>0</v>
      </c>
      <c r="X70" s="785">
        <v>0</v>
      </c>
      <c r="Y70" s="786">
        <v>3</v>
      </c>
      <c r="Z70" s="787">
        <f t="shared" si="42"/>
        <v>12</v>
      </c>
      <c r="AA70" s="417"/>
      <c r="AB70" s="788">
        <f t="shared" si="43"/>
        <v>31</v>
      </c>
      <c r="AC70" s="789"/>
      <c r="AQ70" s="772"/>
      <c r="AR70" s="772">
        <v>46316</v>
      </c>
    </row>
    <row r="71" spans="1:62" ht="3.75" customHeight="1" thickBot="1" x14ac:dyDescent="0.4">
      <c r="A71" s="790"/>
      <c r="B71" s="791"/>
      <c r="C71" s="792"/>
      <c r="D71" s="793"/>
      <c r="E71" s="794"/>
      <c r="F71" s="794"/>
      <c r="G71" s="794"/>
      <c r="H71" s="794"/>
      <c r="I71" s="795"/>
      <c r="J71" s="536"/>
      <c r="K71" s="793"/>
      <c r="L71" s="794"/>
      <c r="M71" s="794"/>
      <c r="N71" s="794"/>
      <c r="O71" s="794"/>
      <c r="P71" s="794"/>
      <c r="Q71" s="795"/>
      <c r="R71" s="18"/>
      <c r="S71" s="793"/>
      <c r="T71" s="794"/>
      <c r="U71" s="794"/>
      <c r="V71" s="794"/>
      <c r="W71" s="794"/>
      <c r="X71" s="794"/>
      <c r="Y71" s="794"/>
      <c r="Z71" s="795"/>
      <c r="AA71" s="417"/>
      <c r="AB71" s="795"/>
      <c r="AC71" s="771"/>
      <c r="AR71" s="772"/>
    </row>
    <row r="72" spans="1:62" s="615" customFormat="1" x14ac:dyDescent="0.35">
      <c r="A72" s="796" t="s">
        <v>71</v>
      </c>
      <c r="B72" s="797"/>
      <c r="C72" s="797"/>
      <c r="D72" s="798">
        <v>0.38</v>
      </c>
      <c r="E72" s="798">
        <v>0.38</v>
      </c>
      <c r="F72" s="798"/>
      <c r="G72" s="798">
        <v>0.38</v>
      </c>
      <c r="H72" s="799">
        <v>0.38</v>
      </c>
      <c r="I72" s="800">
        <v>0.37999999999999995</v>
      </c>
      <c r="J72" s="801" t="e">
        <v>#N/A</v>
      </c>
      <c r="K72" s="802">
        <v>0.38</v>
      </c>
      <c r="L72" s="803"/>
      <c r="M72" s="798">
        <v>0.38</v>
      </c>
      <c r="N72" s="798">
        <v>0.38</v>
      </c>
      <c r="O72" s="798"/>
      <c r="P72" s="804">
        <v>0.38</v>
      </c>
      <c r="Q72" s="800">
        <v>0.38</v>
      </c>
      <c r="R72" s="805" t="e">
        <v>#N/A</v>
      </c>
      <c r="S72" s="802">
        <v>0.38</v>
      </c>
      <c r="T72" s="798">
        <v>0.38</v>
      </c>
      <c r="U72" s="806">
        <v>0.38</v>
      </c>
      <c r="V72" s="806">
        <v>0.38</v>
      </c>
      <c r="W72" s="798">
        <v>0.38</v>
      </c>
      <c r="X72" s="798">
        <v>0.38</v>
      </c>
      <c r="Y72" s="799">
        <v>0.38</v>
      </c>
      <c r="Z72" s="800">
        <v>0.38</v>
      </c>
      <c r="AA72" s="807" t="e">
        <v>#N/A</v>
      </c>
      <c r="AB72" s="808">
        <v>0.37999999999999995</v>
      </c>
      <c r="AC72" s="789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P72" s="23"/>
      <c r="AQ72" s="23"/>
      <c r="AR72" s="772"/>
      <c r="AS72" s="23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</row>
    <row r="73" spans="1:62" s="23" customFormat="1" x14ac:dyDescent="0.35">
      <c r="A73" s="809" t="s">
        <v>72</v>
      </c>
      <c r="B73" s="810"/>
      <c r="C73" s="811"/>
      <c r="D73" s="812">
        <f>VLOOKUP(D77,'[1]Oct 20'!$A$3:$M$23,4,0)</f>
        <v>0.48110599078341015</v>
      </c>
      <c r="E73" s="812">
        <f>VLOOKUP(E77,'[1]Oct 20'!$A$3:$M$23,4,0)</f>
        <v>0.48456790123456789</v>
      </c>
      <c r="F73" s="812"/>
      <c r="G73" s="812">
        <f>VLOOKUP(G77,'[1]Oct 20'!$A$3:$M$23,4,0)</f>
        <v>0.43430656934306572</v>
      </c>
      <c r="H73" s="813">
        <f>VLOOKUP(H77,'[1]Oct 20'!$A$3:$M$23,4,0)</f>
        <v>0.46218487394957986</v>
      </c>
      <c r="I73" s="814">
        <f>VLOOKUP(I77,'[1]Oct 20'!$A$3:$M$23,4,0)</f>
        <v>0.47040271712760795</v>
      </c>
      <c r="J73" s="536" t="e">
        <f>VLOOKUP(J77,'[1]Oct 20'!$A$3:$M$23,4,0)</f>
        <v>#N/A</v>
      </c>
      <c r="K73" s="815">
        <f>VLOOKUP(K77,'[1]Oct 20'!$A$3:$M$23,4,0)</f>
        <v>0.39561707035755478</v>
      </c>
      <c r="L73" s="816"/>
      <c r="M73" s="812">
        <f>VLOOKUP(M77,'[1]Oct 20'!$A$3:$M$23,4,0)</f>
        <v>0.34787735849056606</v>
      </c>
      <c r="N73" s="812">
        <f>VLOOKUP(N77,'[1]Oct 20'!$A$3:$M$23,4,0)</f>
        <v>0.4742547425474255</v>
      </c>
      <c r="O73" s="812"/>
      <c r="P73" s="813">
        <f>VLOOKUP(P77,'[1]Oct 20'!$A$3:$M$23,4,0)</f>
        <v>0.45207667731629392</v>
      </c>
      <c r="Q73" s="814">
        <f>VLOOKUP(Q77,'[1]Oct 20'!$A$3:$M$23,4,0)</f>
        <v>0.41799285482299448</v>
      </c>
      <c r="R73" s="18" t="e">
        <f>VLOOKUP(R77,'[1]Oct 20'!$A$3:$M$23,4,0)</f>
        <v>#N/A</v>
      </c>
      <c r="S73" s="815">
        <f>VLOOKUP(S77,'[1]Oct 20'!$A$3:$M$23,4,0)</f>
        <v>0.4341216216216216</v>
      </c>
      <c r="T73" s="816">
        <f>VLOOKUP(T77,'[1]Oct 20'!$A$3:$M$23,4,0)</f>
        <v>0.35714285714285715</v>
      </c>
      <c r="U73" s="816">
        <f>VLOOKUP(U77,'[1]Oct 20'!$A$3:$M$23,4,0)</f>
        <v>0.352317880794702</v>
      </c>
      <c r="V73" s="816">
        <f>VLOOKUP(V77,'[1]Oct 20'!$A$3:$M$23,4,0)</f>
        <v>0.41500586166471276</v>
      </c>
      <c r="W73" s="816">
        <f>VLOOKUP(W77,'[1]Oct 20'!$A$3:$M$23,4,0)</f>
        <v>0.42689075630252099</v>
      </c>
      <c r="X73" s="816">
        <f>VLOOKUP(X77,'[1]Oct 20'!$A$3:$M$23,4,0)</f>
        <v>0.6116751269035533</v>
      </c>
      <c r="Y73" s="817">
        <f>VLOOKUP(Y77,'[1]Oct 20'!$A$3:$M$23,4,0)</f>
        <v>0.495</v>
      </c>
      <c r="Z73" s="818">
        <f>VLOOKUP(Z77,'[1]Oct 20'!$A$3:$M$23,4,0)</f>
        <v>0.42022324359816154</v>
      </c>
      <c r="AA73" s="807" t="e">
        <f>VLOOKUP(AA77,'[1]Oct 20'!$A$3:$M$23,4,0)</f>
        <v>#N/A</v>
      </c>
      <c r="AB73" s="819">
        <f>VLOOKUP(AB77,'[1]Oct 20'!$A$3:$M$23,4,0)</f>
        <v>0.43721325403568395</v>
      </c>
      <c r="AC73" s="820"/>
      <c r="AR73" s="772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6"/>
    </row>
    <row r="74" spans="1:62" s="23" customFormat="1" x14ac:dyDescent="0.35">
      <c r="A74" s="821" t="s">
        <v>73</v>
      </c>
      <c r="B74" s="822"/>
      <c r="C74" s="823"/>
      <c r="D74" s="824">
        <v>0.38</v>
      </c>
      <c r="E74" s="803">
        <v>0.38</v>
      </c>
      <c r="F74" s="803"/>
      <c r="G74" s="803">
        <v>0.38</v>
      </c>
      <c r="H74" s="825">
        <v>0.38</v>
      </c>
      <c r="I74" s="826">
        <v>0.37999999999999995</v>
      </c>
      <c r="J74" s="801" t="e">
        <v>#N/A</v>
      </c>
      <c r="K74" s="827">
        <v>0.38</v>
      </c>
      <c r="L74" s="803"/>
      <c r="M74" s="803">
        <v>0.38</v>
      </c>
      <c r="N74" s="803">
        <v>0.38</v>
      </c>
      <c r="O74" s="803"/>
      <c r="P74" s="825">
        <v>0.38</v>
      </c>
      <c r="Q74" s="826">
        <v>0.38</v>
      </c>
      <c r="R74" s="805" t="e">
        <v>#N/A</v>
      </c>
      <c r="S74" s="827">
        <v>0.38</v>
      </c>
      <c r="T74" s="803">
        <v>0.38</v>
      </c>
      <c r="U74" s="828">
        <v>0.38</v>
      </c>
      <c r="V74" s="829">
        <v>0.38</v>
      </c>
      <c r="W74" s="830">
        <v>0.38</v>
      </c>
      <c r="X74" s="830">
        <v>0.38</v>
      </c>
      <c r="Y74" s="831">
        <v>0.38</v>
      </c>
      <c r="Z74" s="832">
        <v>0.38</v>
      </c>
      <c r="AA74" s="807" t="e">
        <v>#N/A</v>
      </c>
      <c r="AB74" s="833">
        <v>0.37999999999999995</v>
      </c>
      <c r="AC74" s="820"/>
    </row>
    <row r="75" spans="1:62" x14ac:dyDescent="0.35">
      <c r="A75" s="809" t="s">
        <v>74</v>
      </c>
      <c r="B75" s="810"/>
      <c r="C75" s="811"/>
      <c r="D75" s="834">
        <f>VLOOKUP(D77,'[1]Oct 20'!$A$3:$M$23,7,0)</f>
        <v>0.62580645161290327</v>
      </c>
      <c r="E75" s="812">
        <f>VLOOKUP(E77,'[1]Oct 20'!$A$3:$M$23,7,0)</f>
        <v>0.61604938271604937</v>
      </c>
      <c r="F75" s="812"/>
      <c r="G75" s="812">
        <f>VLOOKUP(G77,'[1]Oct 20'!$A$3:$M$23,7,0)</f>
        <v>0.6058394160583942</v>
      </c>
      <c r="H75" s="813">
        <f>VLOOKUP(H77,'[1]Oct 20'!$A$3:$M$23,7,0)</f>
        <v>0.58991596638655464</v>
      </c>
      <c r="I75" s="818">
        <f>VLOOKUP(I77,'[1]Oct 20'!$A$3:$M$23,7,0)</f>
        <v>0.61280931586608445</v>
      </c>
      <c r="J75" s="536" t="e">
        <f>VLOOKUP(J77,'[1]Oct 20'!$A$3:$M$23,7,0)</f>
        <v>#N/A</v>
      </c>
      <c r="K75" s="834">
        <f>VLOOKUP(K77,'[1]Oct 20'!$A$3:$M$23,7,0)</f>
        <v>0.53171856978085352</v>
      </c>
      <c r="L75" s="816"/>
      <c r="M75" s="812">
        <f>VLOOKUP(M77,'[1]Oct 20'!$A$3:$M$23,7,0)</f>
        <v>0.49646226415094341</v>
      </c>
      <c r="N75" s="812">
        <f>VLOOKUP(N77,'[1]Oct 20'!$A$3:$M$23,7,0)</f>
        <v>0.58943089430894313</v>
      </c>
      <c r="O75" s="816"/>
      <c r="P75" s="813">
        <f>VLOOKUP(P77,'[1]Oct 20'!$A$3:$M$23,7,0)</f>
        <v>0.54792332268370603</v>
      </c>
      <c r="Q75" s="818">
        <f>VLOOKUP(Q77,'[1]Oct 20'!$A$3:$M$23,7,0)</f>
        <v>0.53913608314387784</v>
      </c>
      <c r="R75" s="18" t="e">
        <f>VLOOKUP(R77,'[1]Oct 20'!$A$3:$M$23,7,0)</f>
        <v>#N/A</v>
      </c>
      <c r="S75" s="834">
        <f>VLOOKUP(S77,'[1]Oct 20'!$A$3:$M$23,7,0)</f>
        <v>0.54560810810810811</v>
      </c>
      <c r="T75" s="812">
        <f>VLOOKUP(T77,'[1]Oct 20'!$A$3:$M$23,7,0)</f>
        <v>0.56734693877551023</v>
      </c>
      <c r="U75" s="812">
        <f>VLOOKUP(U77,'[1]Oct 20'!$A$3:$M$23,7,0)</f>
        <v>0.5576158940397351</v>
      </c>
      <c r="V75" s="812">
        <f>VLOOKUP(V77,'[1]Oct 20'!$A$3:$M$23,7,0)</f>
        <v>0.54279015240328254</v>
      </c>
      <c r="W75" s="812">
        <f>VLOOKUP(W77,'[1]Oct 20'!$A$3:$M$23,7,0)</f>
        <v>0.50924369747899156</v>
      </c>
      <c r="X75" s="812">
        <f>VLOOKUP(X77,'[1]Oct 20'!$A$3:$M$23,7,0)</f>
        <v>0.71319796954314718</v>
      </c>
      <c r="Y75" s="813">
        <f>VLOOKUP(Y77,'[1]Oct 20'!$A$3:$M$23,7,0)</f>
        <v>0.59</v>
      </c>
      <c r="Z75" s="818">
        <f>VLOOKUP(Z77,'[1]Oct 20'!$A$3:$M$23,7,0)</f>
        <v>0.56533158240315162</v>
      </c>
      <c r="AA75" s="807" t="e">
        <f>VLOOKUP(AA77,'[1]Oct 20'!$A$3:$M$23,7,0)</f>
        <v>#N/A</v>
      </c>
      <c r="AB75" s="819">
        <f>VLOOKUP(AB77,'[1]Oct 20'!$A$3:$M$23,7,0)</f>
        <v>0.57510620220900599</v>
      </c>
      <c r="AM75" s="835" t="s">
        <v>75</v>
      </c>
      <c r="AN75" s="46">
        <f>NETWORKDAYS.INTL(AP69,AQ69,11,AR69:AR73)</f>
        <v>25</v>
      </c>
    </row>
    <row r="76" spans="1:62" ht="18.75" customHeight="1" thickBot="1" x14ac:dyDescent="0.4">
      <c r="A76" s="836" t="s">
        <v>76</v>
      </c>
      <c r="B76" s="837"/>
      <c r="C76" s="837"/>
      <c r="D76" s="838">
        <f>VLOOKUP(D77,'[1]Oct 20'!$A$3:$M$23,13,0)</f>
        <v>0.50361660657420237</v>
      </c>
      <c r="E76" s="839">
        <f>VLOOKUP(E77,'[1]Oct 20'!$A$3:$M$23,13,0)</f>
        <v>0</v>
      </c>
      <c r="F76" s="839"/>
      <c r="G76" s="839">
        <f>VLOOKUP(G77,'[1]Oct 20'!$A$3:$M$23,13,0)</f>
        <v>7.6188414597456636E-2</v>
      </c>
      <c r="H76" s="840">
        <f>VLOOKUP(H77,'[1]Oct 20'!$A$3:$M$23,13,0)</f>
        <v>0.30988443531072429</v>
      </c>
      <c r="I76" s="841">
        <f>VLOOKUP(I77,'[1]Oct 20'!$A$3:$M$23,13,0)</f>
        <v>0.19046615135008413</v>
      </c>
      <c r="J76" s="536" t="e">
        <f>VLOOKUP(J77,'[1]Oct 20'!$A$3:$M$23,13,0)</f>
        <v>#N/A</v>
      </c>
      <c r="K76" s="842">
        <f>VLOOKUP(K77,'[1]Oct 20'!$A$3:$M$23,13,0)</f>
        <v>0.46399394305875619</v>
      </c>
      <c r="L76" s="839"/>
      <c r="M76" s="840">
        <f>VLOOKUP(M77,'[1]Oct 20'!$A$3:$M$23,13,0)</f>
        <v>1.1357588751147812E-2</v>
      </c>
      <c r="N76" s="839">
        <f>VLOOKUP(N77,'[1]Oct 20'!$A$3:$M$23,13,0)</f>
        <v>0.34900728214848226</v>
      </c>
      <c r="O76" s="839"/>
      <c r="P76" s="840">
        <f>VLOOKUP(P77,'[1]Oct 20'!$A$3:$M$23,13,0)</f>
        <v>0.59926033473073437</v>
      </c>
      <c r="Q76" s="841">
        <f>VLOOKUP(Q77,'[1]Oct 20'!$A$3:$M$23,13,0)</f>
        <v>0.34522574491178165</v>
      </c>
      <c r="R76" s="18" t="e">
        <f>VLOOKUP(R77,'[1]Oct 20'!$A$3:$M$23,13,0)</f>
        <v>#N/A</v>
      </c>
      <c r="S76" s="838">
        <f>VLOOKUP(S77,'[1]Oct 20'!$A$3:$M$23,13,0)</f>
        <v>0.75817647446031811</v>
      </c>
      <c r="T76" s="839">
        <f>VLOOKUP(T77,'[1]Oct 20'!$A$3:$M$23,13,0)</f>
        <v>0.45164088204804381</v>
      </c>
      <c r="U76" s="839">
        <f>VLOOKUP(U77,'[1]Oct 20'!$A$3:$M$23,13,0)</f>
        <v>0.90925804832465662</v>
      </c>
      <c r="V76" s="839">
        <f>VLOOKUP(V77,'[1]Oct 20'!$A$3:$M$23,13,0)</f>
        <v>0.98664243024699316</v>
      </c>
      <c r="W76" s="839">
        <f>VLOOKUP(W77,'[1]Oct 20'!$A$3:$M$23,13,0)</f>
        <v>0.60057305629976176</v>
      </c>
      <c r="X76" s="839">
        <f>VLOOKUP(X77,'[1]Oct 20'!$A$3:$M$23,13,0)</f>
        <v>0.41843492793442721</v>
      </c>
      <c r="Y76" s="840">
        <f>VLOOKUP(Y77,'[1]Oct 20'!$A$3:$M$23,13,0)</f>
        <v>0.73194051001855076</v>
      </c>
      <c r="Z76" s="841">
        <f>VLOOKUP(Z77,'[1]Oct 20'!$A$3:$M$23,13,0)</f>
        <v>0.70228094440145949</v>
      </c>
      <c r="AA76" s="807" t="e">
        <f>VLOOKUP(AA77,'[1]Oct 20'!$A$3:$M$23,13,0)</f>
        <v>#N/A</v>
      </c>
      <c r="AB76" s="843">
        <f>VLOOKUP(AB77,'[1]Oct 20'!$A$3:$M$23,13,0)</f>
        <v>0.41919755702115474</v>
      </c>
      <c r="AC76" s="844" t="s">
        <v>77</v>
      </c>
      <c r="AD76" s="845">
        <f ca="1">TODAY()-2</f>
        <v>46316</v>
      </c>
      <c r="AE76" s="772"/>
      <c r="AM76" s="835" t="s">
        <v>78</v>
      </c>
      <c r="AN76" s="46">
        <f>NETWORKDAYS.INTL(AP69,A2,11,AR69:AR73)</f>
        <v>16</v>
      </c>
    </row>
    <row r="77" spans="1:62" s="863" customFormat="1" ht="16" thickBot="1" x14ac:dyDescent="0.4">
      <c r="A77" s="846">
        <f>A2</f>
        <v>46315</v>
      </c>
      <c r="B77" s="847"/>
      <c r="C77" s="848"/>
      <c r="D77" s="849" t="s">
        <v>0</v>
      </c>
      <c r="E77" s="850" t="s">
        <v>1</v>
      </c>
      <c r="F77" s="850" t="s">
        <v>2</v>
      </c>
      <c r="G77" s="850" t="s">
        <v>3</v>
      </c>
      <c r="H77" s="851" t="s">
        <v>4</v>
      </c>
      <c r="I77" s="852" t="s">
        <v>5</v>
      </c>
      <c r="J77" s="536"/>
      <c r="K77" s="853" t="s">
        <v>6</v>
      </c>
      <c r="L77" s="854" t="s">
        <v>7</v>
      </c>
      <c r="M77" s="854" t="s">
        <v>8</v>
      </c>
      <c r="N77" s="855" t="s">
        <v>9</v>
      </c>
      <c r="O77" s="855" t="s">
        <v>10</v>
      </c>
      <c r="P77" s="851" t="s">
        <v>11</v>
      </c>
      <c r="Q77" s="852" t="s">
        <v>12</v>
      </c>
      <c r="R77" s="18"/>
      <c r="S77" s="856" t="s">
        <v>13</v>
      </c>
      <c r="T77" s="850" t="s">
        <v>14</v>
      </c>
      <c r="U77" s="857" t="s">
        <v>15</v>
      </c>
      <c r="V77" s="857" t="s">
        <v>16</v>
      </c>
      <c r="W77" s="850" t="s">
        <v>17</v>
      </c>
      <c r="X77" s="850" t="s">
        <v>18</v>
      </c>
      <c r="Y77" s="851" t="s">
        <v>19</v>
      </c>
      <c r="Z77" s="852" t="s">
        <v>20</v>
      </c>
      <c r="AA77" s="807" t="e">
        <v>#N/A</v>
      </c>
      <c r="AB77" s="858" t="s">
        <v>79</v>
      </c>
      <c r="AC77" s="859"/>
      <c r="AD77" s="860" t="s">
        <v>20</v>
      </c>
      <c r="AE77" s="861" t="s">
        <v>21</v>
      </c>
      <c r="AF77" s="862" t="s">
        <v>80</v>
      </c>
      <c r="AG77" s="46"/>
      <c r="AH77" s="860" t="s">
        <v>81</v>
      </c>
      <c r="AI77" s="861" t="s">
        <v>21</v>
      </c>
      <c r="AJ77" s="862" t="s">
        <v>80</v>
      </c>
      <c r="AN77" s="864">
        <f>AN76/AN75</f>
        <v>0.64</v>
      </c>
    </row>
    <row r="78" spans="1:62" s="887" customFormat="1" x14ac:dyDescent="0.35">
      <c r="A78" s="865" t="s">
        <v>82</v>
      </c>
      <c r="B78" s="866"/>
      <c r="C78" s="866"/>
      <c r="D78" s="867"/>
      <c r="E78" s="868"/>
      <c r="F78" s="869"/>
      <c r="G78" s="870"/>
      <c r="H78" s="871"/>
      <c r="I78" s="872"/>
      <c r="J78" s="536"/>
      <c r="K78" s="873"/>
      <c r="L78" s="874"/>
      <c r="M78" s="874"/>
      <c r="N78" s="874"/>
      <c r="O78" s="874"/>
      <c r="P78" s="871"/>
      <c r="Q78" s="875"/>
      <c r="R78" s="18"/>
      <c r="S78" s="876"/>
      <c r="T78" s="869"/>
      <c r="U78" s="877"/>
      <c r="V78" s="878"/>
      <c r="W78" s="874"/>
      <c r="X78" s="874"/>
      <c r="Y78" s="871"/>
      <c r="Z78" s="879"/>
      <c r="AA78" s="807" t="e">
        <v>#N/A</v>
      </c>
      <c r="AB78" s="880"/>
      <c r="AC78" s="881"/>
      <c r="AD78" s="882" t="s">
        <v>83</v>
      </c>
      <c r="AE78" s="883">
        <f>Z81</f>
        <v>1654</v>
      </c>
      <c r="AF78" s="884"/>
      <c r="AG78" s="46"/>
      <c r="AH78" s="882" t="s">
        <v>83</v>
      </c>
      <c r="AI78" s="883">
        <f>AB81</f>
        <v>4887</v>
      </c>
      <c r="AJ78" s="885"/>
      <c r="AK78" s="886"/>
      <c r="AL78" s="844"/>
      <c r="AN78" s="46"/>
      <c r="AO78" s="888" t="s">
        <v>84</v>
      </c>
      <c r="AP78" s="46" t="s">
        <v>85</v>
      </c>
      <c r="AQ78" s="46" t="s">
        <v>86</v>
      </c>
    </row>
    <row r="79" spans="1:62" x14ac:dyDescent="0.35">
      <c r="A79" s="889" t="s">
        <v>87</v>
      </c>
      <c r="B79" s="890"/>
      <c r="C79" s="890"/>
      <c r="D79" s="657">
        <v>57</v>
      </c>
      <c r="E79" s="891">
        <v>89</v>
      </c>
      <c r="F79" s="891">
        <v>0</v>
      </c>
      <c r="G79" s="586">
        <v>47</v>
      </c>
      <c r="H79" s="53">
        <v>28</v>
      </c>
      <c r="I79" s="892">
        <f t="shared" ref="I79:I92" si="44">SUM(D79:H79)</f>
        <v>221</v>
      </c>
      <c r="J79" s="536"/>
      <c r="K79" s="658">
        <v>46</v>
      </c>
      <c r="L79" s="893">
        <v>0</v>
      </c>
      <c r="M79" s="894">
        <v>42</v>
      </c>
      <c r="N79" s="895">
        <v>38</v>
      </c>
      <c r="O79" s="895">
        <v>0</v>
      </c>
      <c r="P79" s="896">
        <v>28</v>
      </c>
      <c r="Q79" s="892">
        <f t="shared" ref="Q79:Q104" si="45">SUM(K79:P79)</f>
        <v>154</v>
      </c>
      <c r="R79" s="18"/>
      <c r="S79" s="897">
        <v>30</v>
      </c>
      <c r="T79" s="891">
        <v>46</v>
      </c>
      <c r="U79" s="891">
        <v>41</v>
      </c>
      <c r="V79" s="891">
        <v>54</v>
      </c>
      <c r="W79" s="891">
        <v>35</v>
      </c>
      <c r="X79" s="891">
        <v>17</v>
      </c>
      <c r="Y79" s="898">
        <v>18</v>
      </c>
      <c r="Z79" s="892">
        <f t="shared" ref="Z79:Z104" si="46">SUM(S79:Y79)</f>
        <v>241</v>
      </c>
      <c r="AA79" s="417"/>
      <c r="AB79" s="321">
        <f t="shared" ref="AB79:AB104" si="47">I79+Q79+Z79</f>
        <v>616</v>
      </c>
      <c r="AC79" s="899"/>
      <c r="AD79" s="900" t="s">
        <v>88</v>
      </c>
      <c r="AE79" s="901">
        <f>Z83</f>
        <v>1068</v>
      </c>
      <c r="AF79" s="902">
        <f>AE79/AE78</f>
        <v>0.64570737605804107</v>
      </c>
      <c r="AH79" s="900" t="s">
        <v>88</v>
      </c>
      <c r="AI79" s="901">
        <f>AB83</f>
        <v>3128</v>
      </c>
      <c r="AJ79" s="903">
        <f>AI79/AI78</f>
        <v>0.64006547984448536</v>
      </c>
      <c r="AK79" s="258"/>
      <c r="AL79" s="904"/>
      <c r="AM79" s="905"/>
      <c r="AN79" s="906">
        <f>AB81*AN77</f>
        <v>3127.6800000000003</v>
      </c>
      <c r="AO79" s="906">
        <f>AB83-AN79</f>
        <v>0.31999999999970896</v>
      </c>
      <c r="AP79" s="907">
        <f>AN77-AJ79</f>
        <v>-6.5479844485349936E-5</v>
      </c>
      <c r="AQ79" s="907">
        <f>100%-AP79</f>
        <v>1.0000654798444852</v>
      </c>
      <c r="AR79" s="212"/>
    </row>
    <row r="80" spans="1:62" ht="15" thickBot="1" x14ac:dyDescent="0.4">
      <c r="A80" s="908" t="s">
        <v>36</v>
      </c>
      <c r="B80" s="909"/>
      <c r="C80" s="909"/>
      <c r="D80" s="910">
        <v>998</v>
      </c>
      <c r="E80" s="891">
        <v>1427</v>
      </c>
      <c r="F80" s="891">
        <v>0</v>
      </c>
      <c r="G80" s="891">
        <v>727</v>
      </c>
      <c r="H80" s="898">
        <v>537</v>
      </c>
      <c r="I80" s="911">
        <f t="shared" si="44"/>
        <v>3689</v>
      </c>
      <c r="J80" s="536"/>
      <c r="K80" s="912">
        <v>808</v>
      </c>
      <c r="L80" s="893">
        <v>0</v>
      </c>
      <c r="M80" s="894">
        <v>741</v>
      </c>
      <c r="N80" s="893">
        <v>658</v>
      </c>
      <c r="O80" s="893">
        <v>0</v>
      </c>
      <c r="P80" s="896">
        <v>537</v>
      </c>
      <c r="Q80" s="911">
        <f t="shared" si="45"/>
        <v>2744</v>
      </c>
      <c r="R80" s="18"/>
      <c r="S80" s="897">
        <v>560</v>
      </c>
      <c r="T80" s="891">
        <v>874</v>
      </c>
      <c r="U80" s="891">
        <v>663</v>
      </c>
      <c r="V80" s="891">
        <v>725</v>
      </c>
      <c r="W80" s="891">
        <v>475</v>
      </c>
      <c r="X80" s="891">
        <v>359</v>
      </c>
      <c r="Y80" s="898">
        <v>343</v>
      </c>
      <c r="Z80" s="911">
        <f t="shared" si="46"/>
        <v>3999</v>
      </c>
      <c r="AA80" s="417"/>
      <c r="AB80" s="913">
        <f t="shared" si="47"/>
        <v>10432</v>
      </c>
      <c r="AC80" s="899"/>
      <c r="AD80" s="914" t="s">
        <v>89</v>
      </c>
      <c r="AE80" s="915">
        <f>Z84</f>
        <v>47857590.30399359</v>
      </c>
      <c r="AF80" s="916"/>
      <c r="AH80" s="914" t="s">
        <v>89</v>
      </c>
      <c r="AI80" s="915">
        <f>AB84</f>
        <v>135255794.15756479</v>
      </c>
      <c r="AJ80" s="917"/>
      <c r="AK80" s="905"/>
      <c r="AN80" s="116"/>
      <c r="AO80" s="116"/>
      <c r="AY80" s="23"/>
    </row>
    <row r="81" spans="1:45" s="887" customFormat="1" ht="15" customHeight="1" thickTop="1" x14ac:dyDescent="0.35">
      <c r="A81" s="918" t="s">
        <v>90</v>
      </c>
      <c r="B81" s="919"/>
      <c r="C81" s="919"/>
      <c r="D81" s="920">
        <v>506</v>
      </c>
      <c r="E81" s="921">
        <v>420</v>
      </c>
      <c r="F81" s="921">
        <v>247</v>
      </c>
      <c r="G81" s="921">
        <v>355</v>
      </c>
      <c r="H81" s="922">
        <v>299</v>
      </c>
      <c r="I81" s="923">
        <f t="shared" si="44"/>
        <v>1827</v>
      </c>
      <c r="J81" s="536"/>
      <c r="K81" s="924">
        <v>271</v>
      </c>
      <c r="L81" s="925">
        <v>145</v>
      </c>
      <c r="M81" s="925">
        <v>392</v>
      </c>
      <c r="N81" s="925">
        <v>229</v>
      </c>
      <c r="O81" s="925">
        <v>160</v>
      </c>
      <c r="P81" s="926">
        <v>209</v>
      </c>
      <c r="Q81" s="923">
        <f>SUM(K81:P81)</f>
        <v>1406</v>
      </c>
      <c r="R81" s="18"/>
      <c r="S81" s="927">
        <v>220</v>
      </c>
      <c r="T81" s="928">
        <v>382</v>
      </c>
      <c r="U81" s="928">
        <v>193</v>
      </c>
      <c r="V81" s="928">
        <v>393</v>
      </c>
      <c r="W81" s="928">
        <v>193</v>
      </c>
      <c r="X81" s="928">
        <v>133</v>
      </c>
      <c r="Y81" s="929">
        <v>140</v>
      </c>
      <c r="Z81" s="923">
        <f t="shared" si="46"/>
        <v>1654</v>
      </c>
      <c r="AA81" s="417"/>
      <c r="AB81" s="930">
        <f t="shared" si="47"/>
        <v>4887</v>
      </c>
      <c r="AC81" s="931"/>
      <c r="AD81" s="900" t="s">
        <v>88</v>
      </c>
      <c r="AE81" s="932">
        <f>Z86</f>
        <v>33761488.289999999</v>
      </c>
      <c r="AF81" s="933">
        <f>AE81/AE80</f>
        <v>0.70545733864880134</v>
      </c>
      <c r="AG81" s="46"/>
      <c r="AH81" s="900" t="s">
        <v>88</v>
      </c>
      <c r="AI81" s="932">
        <f>AB86</f>
        <v>97444359.189999998</v>
      </c>
      <c r="AJ81" s="903">
        <f>AI81/AI80</f>
        <v>0.7204449894137861</v>
      </c>
      <c r="AK81" s="258"/>
      <c r="AL81" s="904"/>
      <c r="AM81" s="905"/>
      <c r="AN81" s="934">
        <f>AN77*AB84</f>
        <v>86563708.260841474</v>
      </c>
      <c r="AO81" s="934">
        <f>AB86-AN81</f>
        <v>10880650.929158524</v>
      </c>
      <c r="AP81" s="907">
        <f>AN77-AJ81</f>
        <v>-8.0444989413786083E-2</v>
      </c>
      <c r="AQ81" s="907">
        <f>100%-AP81</f>
        <v>1.080444989413786</v>
      </c>
      <c r="AS81" s="886"/>
    </row>
    <row r="82" spans="1:45" ht="15" customHeight="1" x14ac:dyDescent="0.35">
      <c r="A82" s="889" t="s">
        <v>91</v>
      </c>
      <c r="B82" s="890"/>
      <c r="C82" s="890"/>
      <c r="D82" s="657">
        <v>22</v>
      </c>
      <c r="E82" s="935">
        <v>19</v>
      </c>
      <c r="F82" s="935">
        <v>9</v>
      </c>
      <c r="G82" s="586">
        <v>17</v>
      </c>
      <c r="H82" s="936">
        <v>17</v>
      </c>
      <c r="I82" s="937">
        <f t="shared" si="44"/>
        <v>84</v>
      </c>
      <c r="J82" s="536"/>
      <c r="K82" s="658">
        <v>6</v>
      </c>
      <c r="L82" s="659">
        <v>10</v>
      </c>
      <c r="M82" s="659">
        <v>12</v>
      </c>
      <c r="N82" s="659">
        <v>6</v>
      </c>
      <c r="O82" s="659">
        <v>6</v>
      </c>
      <c r="P82" s="938">
        <v>12</v>
      </c>
      <c r="Q82" s="937">
        <f t="shared" si="45"/>
        <v>52</v>
      </c>
      <c r="R82" s="18"/>
      <c r="S82" s="939">
        <v>6</v>
      </c>
      <c r="T82" s="935">
        <v>21</v>
      </c>
      <c r="U82" s="935">
        <v>9</v>
      </c>
      <c r="V82" s="935">
        <v>10</v>
      </c>
      <c r="W82" s="935">
        <v>9</v>
      </c>
      <c r="X82" s="935">
        <v>3</v>
      </c>
      <c r="Y82" s="936">
        <v>8</v>
      </c>
      <c r="Z82" s="937">
        <f t="shared" si="46"/>
        <v>66</v>
      </c>
      <c r="AA82" s="417"/>
      <c r="AB82" s="321">
        <f t="shared" si="47"/>
        <v>202</v>
      </c>
      <c r="AC82" s="899"/>
      <c r="AD82" s="914" t="s">
        <v>92</v>
      </c>
      <c r="AE82" s="915">
        <f>Z87</f>
        <v>55454884.403796792</v>
      </c>
      <c r="AF82" s="916"/>
      <c r="AH82" s="914" t="s">
        <v>92</v>
      </c>
      <c r="AI82" s="915">
        <f>AB87</f>
        <v>156890033.24860319</v>
      </c>
      <c r="AJ82" s="917"/>
      <c r="AK82" s="212"/>
      <c r="AL82" s="258"/>
      <c r="AN82" s="934"/>
      <c r="AO82" s="934"/>
    </row>
    <row r="83" spans="1:45" ht="15" customHeight="1" thickBot="1" x14ac:dyDescent="0.4">
      <c r="A83" s="908" t="s">
        <v>36</v>
      </c>
      <c r="B83" s="909"/>
      <c r="C83" s="909"/>
      <c r="D83" s="940">
        <v>311</v>
      </c>
      <c r="E83" s="941">
        <v>316</v>
      </c>
      <c r="F83" s="941">
        <v>160</v>
      </c>
      <c r="G83" s="941">
        <v>240</v>
      </c>
      <c r="H83" s="942">
        <v>197</v>
      </c>
      <c r="I83" s="320">
        <f t="shared" si="44"/>
        <v>1224</v>
      </c>
      <c r="J83" s="536"/>
      <c r="K83" s="912">
        <v>173</v>
      </c>
      <c r="L83" s="659">
        <v>83</v>
      </c>
      <c r="M83" s="943">
        <v>204</v>
      </c>
      <c r="N83" s="659">
        <v>128</v>
      </c>
      <c r="O83" s="659">
        <v>105</v>
      </c>
      <c r="P83" s="944">
        <v>143</v>
      </c>
      <c r="Q83" s="320">
        <f t="shared" si="45"/>
        <v>836</v>
      </c>
      <c r="R83" s="18"/>
      <c r="S83" s="945">
        <v>129</v>
      </c>
      <c r="T83" s="941">
        <v>268</v>
      </c>
      <c r="U83" s="941">
        <v>137</v>
      </c>
      <c r="V83" s="941">
        <v>252</v>
      </c>
      <c r="W83" s="941">
        <v>121</v>
      </c>
      <c r="X83" s="941">
        <v>75</v>
      </c>
      <c r="Y83" s="942">
        <v>86</v>
      </c>
      <c r="Z83" s="320">
        <f t="shared" si="46"/>
        <v>1068</v>
      </c>
      <c r="AA83" s="671"/>
      <c r="AB83" s="946">
        <f t="shared" si="47"/>
        <v>3128</v>
      </c>
      <c r="AC83" s="947"/>
      <c r="AD83" s="900" t="s">
        <v>88</v>
      </c>
      <c r="AE83" s="932">
        <f>Z89</f>
        <v>34696807.200000003</v>
      </c>
      <c r="AF83" s="903">
        <f>AE83/AE82</f>
        <v>0.62567630557759202</v>
      </c>
      <c r="AH83" s="900" t="s">
        <v>88</v>
      </c>
      <c r="AI83" s="932">
        <f>AB89</f>
        <v>107200188.23999999</v>
      </c>
      <c r="AJ83" s="903">
        <f>AI83/AI82</f>
        <v>0.68328233489589374</v>
      </c>
      <c r="AK83" s="258"/>
      <c r="AL83" s="904"/>
      <c r="AM83" s="905"/>
      <c r="AN83" s="934">
        <f>AN77*AB87</f>
        <v>100409621.27910605</v>
      </c>
      <c r="AO83" s="934">
        <f>AB89-AN83</f>
        <v>6790566.9608939439</v>
      </c>
      <c r="AP83" s="907">
        <f>AN77-AJ83</f>
        <v>-4.3282334895893726E-2</v>
      </c>
      <c r="AQ83" s="907">
        <f>100%-AP83</f>
        <v>1.0432823348958937</v>
      </c>
      <c r="AR83" s="887"/>
    </row>
    <row r="84" spans="1:45" s="887" customFormat="1" ht="15" thickTop="1" x14ac:dyDescent="0.35">
      <c r="A84" s="918" t="s">
        <v>93</v>
      </c>
      <c r="B84" s="919"/>
      <c r="C84" s="919"/>
      <c r="D84" s="920">
        <v>13017110.11744</v>
      </c>
      <c r="E84" s="921">
        <v>13711274</v>
      </c>
      <c r="F84" s="921">
        <v>8403684</v>
      </c>
      <c r="G84" s="921">
        <v>10032511.319168</v>
      </c>
      <c r="H84" s="922">
        <v>6882170.7282016007</v>
      </c>
      <c r="I84" s="923">
        <f t="shared" si="44"/>
        <v>52046750.1648096</v>
      </c>
      <c r="J84" s="18"/>
      <c r="K84" s="948">
        <v>6031550.0113440016</v>
      </c>
      <c r="L84" s="949">
        <v>3200307.5606112001</v>
      </c>
      <c r="M84" s="950">
        <v>8856554.6279807966</v>
      </c>
      <c r="N84" s="950">
        <v>6425007.4895968009</v>
      </c>
      <c r="O84" s="950">
        <v>4147394.3335967981</v>
      </c>
      <c r="P84" s="951">
        <v>6690639.6656319983</v>
      </c>
      <c r="Q84" s="923">
        <f t="shared" si="45"/>
        <v>35351453.688761599</v>
      </c>
      <c r="R84" s="18"/>
      <c r="S84" s="920">
        <v>5620681.5610816013</v>
      </c>
      <c r="T84" s="921">
        <v>10394102.4356416</v>
      </c>
      <c r="U84" s="921">
        <v>7678137.0256863981</v>
      </c>
      <c r="V84" s="921">
        <v>11711124.4004352</v>
      </c>
      <c r="W84" s="921">
        <v>4936908.1283808006</v>
      </c>
      <c r="X84" s="921">
        <v>3798093.2540095998</v>
      </c>
      <c r="Y84" s="922">
        <v>3718543.4987583989</v>
      </c>
      <c r="Z84" s="923">
        <f t="shared" si="46"/>
        <v>47857590.30399359</v>
      </c>
      <c r="AA84" s="417"/>
      <c r="AB84" s="930">
        <f t="shared" si="47"/>
        <v>135255794.15756479</v>
      </c>
      <c r="AC84" s="952"/>
      <c r="AD84" s="914" t="s">
        <v>94</v>
      </c>
      <c r="AE84" s="915">
        <f>Z90</f>
        <v>4580</v>
      </c>
      <c r="AF84" s="916"/>
      <c r="AG84" s="46"/>
      <c r="AH84" s="914" t="s">
        <v>94</v>
      </c>
      <c r="AI84" s="915">
        <f>AB90</f>
        <v>12316</v>
      </c>
      <c r="AJ84" s="917"/>
      <c r="AK84" s="844"/>
      <c r="AL84" s="844"/>
      <c r="AN84" s="934"/>
      <c r="AO84" s="934"/>
      <c r="AP84" s="46"/>
      <c r="AQ84" s="46"/>
      <c r="AR84" s="46"/>
    </row>
    <row r="85" spans="1:45" ht="15" thickBot="1" x14ac:dyDescent="0.4">
      <c r="A85" s="889" t="s">
        <v>95</v>
      </c>
      <c r="B85" s="890"/>
      <c r="C85" s="890"/>
      <c r="D85" s="657">
        <v>448466.65999999829</v>
      </c>
      <c r="E85" s="953">
        <v>670216.37000000104</v>
      </c>
      <c r="F85" s="953">
        <v>227338.45999999996</v>
      </c>
      <c r="G85" s="586">
        <v>492178.58000000101</v>
      </c>
      <c r="H85" s="954">
        <v>391706.04999999981</v>
      </c>
      <c r="I85" s="955">
        <f t="shared" si="44"/>
        <v>2229906.12</v>
      </c>
      <c r="J85" s="18"/>
      <c r="K85" s="265">
        <v>374027.16000000015</v>
      </c>
      <c r="L85" s="266">
        <v>371616.96999999974</v>
      </c>
      <c r="M85" s="266">
        <v>713677.77000000048</v>
      </c>
      <c r="N85" s="266">
        <v>378372.10999999987</v>
      </c>
      <c r="O85" s="266">
        <v>227300.29000000004</v>
      </c>
      <c r="P85" s="956">
        <v>501257.69999999972</v>
      </c>
      <c r="Q85" s="955">
        <f t="shared" si="45"/>
        <v>2566252</v>
      </c>
      <c r="R85" s="18"/>
      <c r="S85" s="657">
        <v>471175.45000000019</v>
      </c>
      <c r="T85" s="957">
        <v>622115.75</v>
      </c>
      <c r="U85" s="957">
        <v>539813.70000000019</v>
      </c>
      <c r="V85" s="957">
        <v>591178.00999999885</v>
      </c>
      <c r="W85" s="957">
        <v>298358.16000000015</v>
      </c>
      <c r="X85" s="957">
        <v>267771</v>
      </c>
      <c r="Y85" s="958">
        <v>70331.520000000019</v>
      </c>
      <c r="Z85" s="955">
        <f t="shared" si="46"/>
        <v>2860743.5899999994</v>
      </c>
      <c r="AA85" s="417"/>
      <c r="AB85" s="321">
        <f>I85+Q85+Z85</f>
        <v>7656901.709999999</v>
      </c>
      <c r="AC85" s="116"/>
      <c r="AD85" s="959" t="s">
        <v>88</v>
      </c>
      <c r="AE85" s="960">
        <f>Z92</f>
        <v>3158</v>
      </c>
      <c r="AF85" s="961">
        <f>AE85/AE84</f>
        <v>0.68951965065502185</v>
      </c>
      <c r="AH85" s="959" t="s">
        <v>88</v>
      </c>
      <c r="AI85" s="962">
        <f>AB92</f>
        <v>8229</v>
      </c>
      <c r="AJ85" s="963">
        <f>AI85/AI84</f>
        <v>0.66815524520948355</v>
      </c>
      <c r="AK85" s="258"/>
      <c r="AL85" s="904"/>
      <c r="AM85" s="905"/>
      <c r="AN85" s="934">
        <f>AN77*AB90</f>
        <v>7882.24</v>
      </c>
      <c r="AO85" s="934">
        <f>AB92-AN85</f>
        <v>346.76000000000022</v>
      </c>
      <c r="AP85" s="907">
        <f>AN77-AJ85</f>
        <v>-2.8155245209483537E-2</v>
      </c>
      <c r="AQ85" s="907">
        <f>100%-AP85</f>
        <v>1.0281552452094835</v>
      </c>
    </row>
    <row r="86" spans="1:45" ht="15" thickBot="1" x14ac:dyDescent="0.4">
      <c r="A86" s="908" t="s">
        <v>36</v>
      </c>
      <c r="B86" s="909"/>
      <c r="C86" s="909"/>
      <c r="D86" s="964">
        <v>11299390.789999999</v>
      </c>
      <c r="E86" s="965">
        <v>9611070.4099999983</v>
      </c>
      <c r="F86" s="966">
        <v>4058071.62</v>
      </c>
      <c r="G86" s="266">
        <v>7790329.1400000025</v>
      </c>
      <c r="H86" s="967">
        <v>6055243.1299999999</v>
      </c>
      <c r="I86" s="320">
        <f t="shared" si="44"/>
        <v>38814105.090000004</v>
      </c>
      <c r="J86" s="694"/>
      <c r="K86" s="968">
        <v>5447605.0000000009</v>
      </c>
      <c r="L86" s="969">
        <v>2511582.1100000008</v>
      </c>
      <c r="M86" s="970">
        <v>6790890.4700000016</v>
      </c>
      <c r="N86" s="266">
        <v>3780938.33</v>
      </c>
      <c r="O86" s="266">
        <v>2316320.12</v>
      </c>
      <c r="P86" s="971">
        <v>4021429.78</v>
      </c>
      <c r="Q86" s="320">
        <f t="shared" si="45"/>
        <v>24868765.810000006</v>
      </c>
      <c r="R86" s="694"/>
      <c r="S86" s="972">
        <v>3616526.46</v>
      </c>
      <c r="T86" s="973">
        <v>8342893.7800000003</v>
      </c>
      <c r="U86" s="973">
        <v>5373555.7199999997</v>
      </c>
      <c r="V86" s="973">
        <v>7140342.5199999996</v>
      </c>
      <c r="W86" s="973">
        <v>3699282.99</v>
      </c>
      <c r="X86" s="973">
        <v>2577669.15</v>
      </c>
      <c r="Y86" s="974">
        <v>3011217.6700000009</v>
      </c>
      <c r="Z86" s="320">
        <f t="shared" si="46"/>
        <v>33761488.289999999</v>
      </c>
      <c r="AA86" s="671"/>
      <c r="AB86" s="946">
        <f t="shared" si="47"/>
        <v>97444359.189999998</v>
      </c>
      <c r="AC86" s="899"/>
      <c r="AE86" s="886"/>
      <c r="AF86" s="975"/>
    </row>
    <row r="87" spans="1:45" s="887" customFormat="1" ht="16.5" thickTop="1" thickBot="1" x14ac:dyDescent="0.4">
      <c r="A87" s="918" t="s">
        <v>96</v>
      </c>
      <c r="B87" s="919"/>
      <c r="C87" s="919"/>
      <c r="D87" s="920">
        <v>15266991.1758208</v>
      </c>
      <c r="E87" s="921">
        <v>15780722</v>
      </c>
      <c r="F87" s="921">
        <v>9672056</v>
      </c>
      <c r="G87" s="921">
        <v>11554109.574123999</v>
      </c>
      <c r="H87" s="922">
        <v>8067785.720019999</v>
      </c>
      <c r="I87" s="923">
        <f t="shared" si="44"/>
        <v>60341664.469964795</v>
      </c>
      <c r="J87" s="18"/>
      <c r="K87" s="948">
        <v>7188664.7114048013</v>
      </c>
      <c r="L87" s="949">
        <v>3577966.3259703978</v>
      </c>
      <c r="M87" s="950">
        <v>10298818.9412784</v>
      </c>
      <c r="N87" s="950">
        <v>7086802.4589856016</v>
      </c>
      <c r="O87" s="950">
        <v>5074293.5104264002</v>
      </c>
      <c r="P87" s="951">
        <v>7866938.4267759994</v>
      </c>
      <c r="Q87" s="923">
        <f t="shared" si="45"/>
        <v>41093484.374841601</v>
      </c>
      <c r="R87" s="18"/>
      <c r="S87" s="920">
        <v>6554059.7942456007</v>
      </c>
      <c r="T87" s="921">
        <v>12108149.440368799</v>
      </c>
      <c r="U87" s="921">
        <v>8788734.0793615952</v>
      </c>
      <c r="V87" s="921">
        <v>13651093.496778401</v>
      </c>
      <c r="W87" s="921">
        <v>5747363.0263400003</v>
      </c>
      <c r="X87" s="921">
        <v>4346690.3617903991</v>
      </c>
      <c r="Y87" s="922">
        <v>4258794.2049119994</v>
      </c>
      <c r="Z87" s="923">
        <f t="shared" si="46"/>
        <v>55454884.403796792</v>
      </c>
      <c r="AA87" s="18"/>
      <c r="AB87" s="930">
        <f t="shared" si="47"/>
        <v>156890033.24860319</v>
      </c>
      <c r="AC87" s="952"/>
      <c r="AD87" s="860" t="s">
        <v>5</v>
      </c>
      <c r="AE87" s="861" t="s">
        <v>21</v>
      </c>
      <c r="AF87" s="862" t="s">
        <v>80</v>
      </c>
      <c r="AG87" s="976"/>
      <c r="AH87" s="977"/>
      <c r="AI87" s="977"/>
      <c r="AJ87" s="977"/>
      <c r="AK87" s="977"/>
      <c r="AL87" s="977"/>
      <c r="AM87" s="977"/>
    </row>
    <row r="88" spans="1:45" x14ac:dyDescent="0.35">
      <c r="A88" s="978" t="s">
        <v>97</v>
      </c>
      <c r="B88" s="979"/>
      <c r="C88" s="979"/>
      <c r="D88" s="657">
        <v>495789.8599999994</v>
      </c>
      <c r="E88" s="953">
        <v>800904.77999999933</v>
      </c>
      <c r="F88" s="953">
        <v>355800.47999999952</v>
      </c>
      <c r="G88" s="586">
        <v>773097.99999999907</v>
      </c>
      <c r="H88" s="954">
        <v>403205.00000000093</v>
      </c>
      <c r="I88" s="955">
        <f t="shared" si="44"/>
        <v>2828798.1199999982</v>
      </c>
      <c r="J88" s="18"/>
      <c r="K88" s="265">
        <v>139694.80000000075</v>
      </c>
      <c r="L88" s="266">
        <v>306263.64000000106</v>
      </c>
      <c r="M88" s="266">
        <v>289456.10000000056</v>
      </c>
      <c r="N88" s="266">
        <v>188751.30000000075</v>
      </c>
      <c r="O88" s="266">
        <v>85814</v>
      </c>
      <c r="P88" s="956">
        <v>240068.10000000056</v>
      </c>
      <c r="Q88" s="955">
        <f t="shared" si="45"/>
        <v>1250047.9400000037</v>
      </c>
      <c r="R88" s="18"/>
      <c r="S88" s="980">
        <v>329290</v>
      </c>
      <c r="T88" s="953">
        <v>309083.09999999963</v>
      </c>
      <c r="U88" s="953">
        <v>504802.89999999944</v>
      </c>
      <c r="V88" s="953">
        <v>287120.30000000075</v>
      </c>
      <c r="W88" s="953">
        <v>167662.29999999981</v>
      </c>
      <c r="X88" s="953">
        <v>169607.61999999965</v>
      </c>
      <c r="Y88" s="954">
        <v>202465.70000000019</v>
      </c>
      <c r="Z88" s="955">
        <f t="shared" si="46"/>
        <v>1970031.9199999995</v>
      </c>
      <c r="AA88" s="18"/>
      <c r="AB88" s="321">
        <f t="shared" si="47"/>
        <v>6048877.9800000014</v>
      </c>
      <c r="AD88" s="882" t="s">
        <v>83</v>
      </c>
      <c r="AE88" s="883">
        <f>I81</f>
        <v>1827</v>
      </c>
      <c r="AF88" s="884"/>
      <c r="AH88" s="844"/>
      <c r="AI88" s="981"/>
      <c r="AJ88" s="904"/>
      <c r="AK88" s="982"/>
      <c r="AL88" s="983"/>
      <c r="AM88" s="983"/>
    </row>
    <row r="89" spans="1:45" ht="15" thickBot="1" x14ac:dyDescent="0.4">
      <c r="A89" s="908" t="s">
        <v>36</v>
      </c>
      <c r="B89" s="909"/>
      <c r="C89" s="909"/>
      <c r="D89" s="984">
        <v>11719522.939999999</v>
      </c>
      <c r="E89" s="266">
        <v>12260454.93999999</v>
      </c>
      <c r="F89" s="266">
        <v>7277518.200000003</v>
      </c>
      <c r="G89" s="266">
        <v>7913614.3799999999</v>
      </c>
      <c r="H89" s="967">
        <v>6874876.4000000004</v>
      </c>
      <c r="I89" s="320">
        <f t="shared" si="44"/>
        <v>46045986.859999992</v>
      </c>
      <c r="J89" s="694"/>
      <c r="K89" s="265">
        <v>5062286.32</v>
      </c>
      <c r="L89" s="969">
        <v>3471150.4800000009</v>
      </c>
      <c r="M89" s="970">
        <v>5989053.1400000006</v>
      </c>
      <c r="N89" s="266">
        <v>4219025.4200000018</v>
      </c>
      <c r="O89" s="266">
        <v>3013651.68</v>
      </c>
      <c r="P89" s="971">
        <v>4702227.1400000006</v>
      </c>
      <c r="Q89" s="320">
        <f t="shared" si="45"/>
        <v>26457394.180000003</v>
      </c>
      <c r="R89" s="694"/>
      <c r="S89" s="985">
        <v>3914956.080000001</v>
      </c>
      <c r="T89" s="266">
        <v>7436175.3200000003</v>
      </c>
      <c r="U89" s="266">
        <v>6652606.3400000008</v>
      </c>
      <c r="V89" s="266">
        <v>6589775.1600000001</v>
      </c>
      <c r="W89" s="266">
        <v>3745552</v>
      </c>
      <c r="X89" s="266">
        <v>2910321.84</v>
      </c>
      <c r="Y89" s="967">
        <v>3447420.46</v>
      </c>
      <c r="Z89" s="320">
        <f t="shared" si="46"/>
        <v>34696807.200000003</v>
      </c>
      <c r="AA89" s="694"/>
      <c r="AB89" s="946">
        <f t="shared" si="47"/>
        <v>107200188.23999999</v>
      </c>
      <c r="AC89" s="986"/>
      <c r="AD89" s="900" t="s">
        <v>88</v>
      </c>
      <c r="AE89" s="901">
        <f>I83</f>
        <v>1224</v>
      </c>
      <c r="AF89" s="902">
        <f>AE89/AE88</f>
        <v>0.66995073891625612</v>
      </c>
      <c r="AG89" s="904"/>
      <c r="AH89" s="212"/>
      <c r="AI89" s="904"/>
      <c r="AJ89" s="987"/>
      <c r="AK89" s="988"/>
      <c r="AL89" s="989"/>
      <c r="AM89" s="990"/>
    </row>
    <row r="90" spans="1:45" s="887" customFormat="1" ht="15" thickTop="1" x14ac:dyDescent="0.35">
      <c r="A90" s="918" t="s">
        <v>94</v>
      </c>
      <c r="B90" s="919"/>
      <c r="C90" s="919"/>
      <c r="D90" s="920">
        <v>1127</v>
      </c>
      <c r="E90" s="921">
        <v>1705</v>
      </c>
      <c r="F90" s="921">
        <v>0</v>
      </c>
      <c r="G90" s="921">
        <v>870</v>
      </c>
      <c r="H90" s="922">
        <v>661</v>
      </c>
      <c r="I90" s="923">
        <f t="shared" si="44"/>
        <v>4363</v>
      </c>
      <c r="J90" s="18"/>
      <c r="K90" s="948">
        <v>895</v>
      </c>
      <c r="L90" s="949">
        <v>0</v>
      </c>
      <c r="M90" s="950">
        <v>860</v>
      </c>
      <c r="N90" s="949">
        <v>888</v>
      </c>
      <c r="O90" s="949">
        <v>0</v>
      </c>
      <c r="P90" s="951">
        <v>730</v>
      </c>
      <c r="Q90" s="923">
        <f t="shared" si="45"/>
        <v>3373</v>
      </c>
      <c r="R90" s="18"/>
      <c r="S90" s="920">
        <v>603</v>
      </c>
      <c r="T90" s="921">
        <v>954</v>
      </c>
      <c r="U90" s="921">
        <v>734</v>
      </c>
      <c r="V90" s="921">
        <v>901</v>
      </c>
      <c r="W90" s="921">
        <v>544</v>
      </c>
      <c r="X90" s="921">
        <v>483</v>
      </c>
      <c r="Y90" s="922">
        <v>361</v>
      </c>
      <c r="Z90" s="923">
        <f t="shared" si="46"/>
        <v>4580</v>
      </c>
      <c r="AA90" s="18"/>
      <c r="AB90" s="930">
        <f t="shared" si="47"/>
        <v>12316</v>
      </c>
      <c r="AC90" s="370"/>
      <c r="AD90" s="914" t="s">
        <v>89</v>
      </c>
      <c r="AE90" s="915">
        <f>I84</f>
        <v>52046750.1648096</v>
      </c>
      <c r="AF90" s="916"/>
      <c r="AG90" s="904"/>
      <c r="AH90" s="904"/>
      <c r="AI90" s="46"/>
      <c r="AJ90" s="982"/>
      <c r="AK90" s="991"/>
      <c r="AL90" s="982"/>
      <c r="AM90" s="991"/>
    </row>
    <row r="91" spans="1:45" x14ac:dyDescent="0.35">
      <c r="A91" s="978" t="s">
        <v>98</v>
      </c>
      <c r="B91" s="979"/>
      <c r="C91" s="979"/>
      <c r="D91" s="657">
        <v>37</v>
      </c>
      <c r="E91" s="957">
        <v>76</v>
      </c>
      <c r="F91" s="957">
        <v>0</v>
      </c>
      <c r="G91" s="586">
        <v>41</v>
      </c>
      <c r="H91" s="936">
        <v>24</v>
      </c>
      <c r="I91" s="937">
        <f t="shared" si="44"/>
        <v>178</v>
      </c>
      <c r="J91" s="18"/>
      <c r="K91" s="658">
        <v>32</v>
      </c>
      <c r="L91" s="659">
        <v>0</v>
      </c>
      <c r="M91" s="659">
        <v>30</v>
      </c>
      <c r="N91" s="659">
        <v>34</v>
      </c>
      <c r="O91" s="659">
        <v>0</v>
      </c>
      <c r="P91" s="896">
        <v>29</v>
      </c>
      <c r="Q91" s="937">
        <f t="shared" si="45"/>
        <v>125</v>
      </c>
      <c r="R91" s="18"/>
      <c r="S91" s="939">
        <v>18</v>
      </c>
      <c r="T91" s="935">
        <v>35</v>
      </c>
      <c r="U91" s="935">
        <v>30</v>
      </c>
      <c r="V91" s="935">
        <v>50</v>
      </c>
      <c r="W91" s="935">
        <v>37</v>
      </c>
      <c r="X91" s="935">
        <v>15</v>
      </c>
      <c r="Y91" s="935">
        <v>20</v>
      </c>
      <c r="Z91" s="937">
        <f t="shared" si="46"/>
        <v>205</v>
      </c>
      <c r="AA91" s="18"/>
      <c r="AB91" s="321">
        <f t="shared" si="47"/>
        <v>508</v>
      </c>
      <c r="AD91" s="900" t="s">
        <v>88</v>
      </c>
      <c r="AE91" s="932">
        <f>I86</f>
        <v>38814105.090000004</v>
      </c>
      <c r="AF91" s="933">
        <f>AE91/AE90</f>
        <v>0.74575463342269177</v>
      </c>
      <c r="AG91" s="904"/>
      <c r="AH91" s="212"/>
      <c r="AI91" s="904"/>
      <c r="AJ91" s="989"/>
      <c r="AK91" s="988"/>
      <c r="AL91" s="989"/>
      <c r="AM91" s="988"/>
      <c r="AN91" s="370"/>
    </row>
    <row r="92" spans="1:45" ht="15" thickBot="1" x14ac:dyDescent="0.4">
      <c r="A92" s="908" t="s">
        <v>36</v>
      </c>
      <c r="B92" s="909"/>
      <c r="C92" s="909"/>
      <c r="D92" s="985">
        <v>738</v>
      </c>
      <c r="E92" s="659">
        <v>1178</v>
      </c>
      <c r="F92" s="659">
        <v>0</v>
      </c>
      <c r="G92" s="659">
        <v>598</v>
      </c>
      <c r="H92" s="992">
        <v>437</v>
      </c>
      <c r="I92" s="320">
        <f t="shared" si="44"/>
        <v>2951</v>
      </c>
      <c r="J92" s="694"/>
      <c r="K92" s="658">
        <v>585</v>
      </c>
      <c r="L92" s="659">
        <v>0</v>
      </c>
      <c r="M92" s="993">
        <v>543</v>
      </c>
      <c r="N92" s="659">
        <v>558</v>
      </c>
      <c r="O92" s="659">
        <v>0</v>
      </c>
      <c r="P92" s="994">
        <v>434</v>
      </c>
      <c r="Q92" s="320">
        <f t="shared" si="45"/>
        <v>2120</v>
      </c>
      <c r="R92" s="694"/>
      <c r="S92" s="995">
        <v>393</v>
      </c>
      <c r="T92" s="659">
        <v>665</v>
      </c>
      <c r="U92" s="941">
        <v>499</v>
      </c>
      <c r="V92" s="659">
        <v>583</v>
      </c>
      <c r="W92" s="659">
        <v>423</v>
      </c>
      <c r="X92" s="659">
        <v>317</v>
      </c>
      <c r="Y92" s="992">
        <v>278</v>
      </c>
      <c r="Z92" s="320">
        <f t="shared" si="46"/>
        <v>3158</v>
      </c>
      <c r="AA92" s="694"/>
      <c r="AB92" s="946">
        <f t="shared" si="47"/>
        <v>8229</v>
      </c>
      <c r="AD92" s="914" t="s">
        <v>92</v>
      </c>
      <c r="AE92" s="915">
        <f>I87</f>
        <v>60341664.469964795</v>
      </c>
      <c r="AF92" s="916"/>
      <c r="AG92" s="904"/>
      <c r="AI92" s="844"/>
      <c r="AJ92" s="996"/>
      <c r="AK92" s="991"/>
      <c r="AL92" s="982"/>
      <c r="AM92" s="991"/>
    </row>
    <row r="93" spans="1:45" ht="12" customHeight="1" thickTop="1" x14ac:dyDescent="0.35">
      <c r="A93" s="997" t="s">
        <v>99</v>
      </c>
      <c r="B93" s="998"/>
      <c r="C93" s="998"/>
      <c r="D93" s="999"/>
      <c r="E93" s="1000"/>
      <c r="F93" s="1000"/>
      <c r="G93" s="1001"/>
      <c r="H93" s="1002"/>
      <c r="I93" s="1003"/>
      <c r="J93" s="18"/>
      <c r="K93" s="1004"/>
      <c r="L93" s="1005"/>
      <c r="M93" s="1006"/>
      <c r="N93" s="1007"/>
      <c r="O93" s="1007"/>
      <c r="P93" s="1008"/>
      <c r="Q93" s="1009">
        <f t="shared" si="45"/>
        <v>0</v>
      </c>
      <c r="R93" s="18"/>
      <c r="S93" s="1010"/>
      <c r="T93" s="1011"/>
      <c r="U93" s="1011"/>
      <c r="V93" s="949"/>
      <c r="W93" s="949"/>
      <c r="X93" s="1005"/>
      <c r="Y93" s="1012"/>
      <c r="Z93" s="1009">
        <f t="shared" si="46"/>
        <v>0</v>
      </c>
      <c r="AA93" s="18"/>
      <c r="AB93" s="1013">
        <f t="shared" si="47"/>
        <v>0</v>
      </c>
      <c r="AD93" s="900" t="s">
        <v>88</v>
      </c>
      <c r="AE93" s="932">
        <f>I89</f>
        <v>46045986.859999992</v>
      </c>
      <c r="AF93" s="933">
        <f>AE93/AE92</f>
        <v>0.76308778129445687</v>
      </c>
      <c r="AG93" s="904"/>
      <c r="AH93" s="212"/>
      <c r="AI93" s="904"/>
      <c r="AJ93" s="989"/>
      <c r="AK93" s="988"/>
      <c r="AL93" s="989"/>
      <c r="AM93" s="988"/>
      <c r="AP93" s="212"/>
    </row>
    <row r="94" spans="1:45" x14ac:dyDescent="0.35">
      <c r="A94" s="978" t="s">
        <v>100</v>
      </c>
      <c r="B94" s="979"/>
      <c r="C94" s="979"/>
      <c r="D94" s="897">
        <v>37</v>
      </c>
      <c r="E94" s="1014">
        <v>54</v>
      </c>
      <c r="F94" s="1014">
        <v>0</v>
      </c>
      <c r="G94" s="957">
        <v>23</v>
      </c>
      <c r="H94" s="1015">
        <v>12</v>
      </c>
      <c r="I94" s="892">
        <f t="shared" ref="I94:I104" si="48">SUM(D94:H94)</f>
        <v>126</v>
      </c>
      <c r="J94" s="1016"/>
      <c r="K94" s="1017">
        <v>18</v>
      </c>
      <c r="L94" s="895">
        <v>1</v>
      </c>
      <c r="M94" s="1018">
        <v>13</v>
      </c>
      <c r="N94" s="895">
        <v>19</v>
      </c>
      <c r="O94" s="895">
        <v>1</v>
      </c>
      <c r="P94" s="896">
        <v>16</v>
      </c>
      <c r="Q94" s="892">
        <f t="shared" si="45"/>
        <v>68</v>
      </c>
      <c r="R94" s="1016"/>
      <c r="S94" s="1019">
        <v>13</v>
      </c>
      <c r="T94" s="893">
        <v>14</v>
      </c>
      <c r="U94" s="893">
        <v>14</v>
      </c>
      <c r="V94" s="893">
        <v>15</v>
      </c>
      <c r="W94" s="893">
        <v>27</v>
      </c>
      <c r="X94" s="893">
        <v>36</v>
      </c>
      <c r="Y94" s="1020">
        <v>37</v>
      </c>
      <c r="Z94" s="892">
        <f t="shared" si="46"/>
        <v>156</v>
      </c>
      <c r="AA94" s="18"/>
      <c r="AB94" s="321">
        <f t="shared" si="47"/>
        <v>350</v>
      </c>
      <c r="AD94" s="914" t="s">
        <v>94</v>
      </c>
      <c r="AE94" s="915">
        <f>I90</f>
        <v>4363</v>
      </c>
      <c r="AF94" s="916"/>
      <c r="AG94" s="844"/>
      <c r="AH94" s="844"/>
      <c r="AI94" s="844"/>
      <c r="AJ94" s="982"/>
      <c r="AK94" s="991"/>
      <c r="AL94" s="982"/>
      <c r="AM94" s="991"/>
    </row>
    <row r="95" spans="1:45" ht="15" thickBot="1" x14ac:dyDescent="0.4">
      <c r="A95" s="908" t="s">
        <v>36</v>
      </c>
      <c r="B95" s="909"/>
      <c r="C95" s="909"/>
      <c r="D95" s="985">
        <v>458</v>
      </c>
      <c r="E95" s="1021">
        <v>766</v>
      </c>
      <c r="F95" s="1021">
        <v>7</v>
      </c>
      <c r="G95" s="1021">
        <v>337</v>
      </c>
      <c r="H95" s="1022">
        <v>275</v>
      </c>
      <c r="I95" s="1023">
        <f t="shared" si="48"/>
        <v>1843</v>
      </c>
      <c r="J95" s="1024"/>
      <c r="K95" s="1017">
        <v>337</v>
      </c>
      <c r="L95" s="895">
        <v>8</v>
      </c>
      <c r="M95" s="1018">
        <v>295</v>
      </c>
      <c r="N95" s="895">
        <v>343</v>
      </c>
      <c r="O95" s="895">
        <v>8</v>
      </c>
      <c r="P95" s="896">
        <v>247</v>
      </c>
      <c r="Q95" s="1023">
        <f t="shared" si="45"/>
        <v>1238</v>
      </c>
      <c r="R95" s="1024"/>
      <c r="S95" s="1025">
        <v>248</v>
      </c>
      <c r="T95" s="1021">
        <v>310</v>
      </c>
      <c r="U95" s="1021">
        <v>211</v>
      </c>
      <c r="V95" s="1021">
        <v>258</v>
      </c>
      <c r="W95" s="1021">
        <v>218</v>
      </c>
      <c r="X95" s="1021">
        <v>217</v>
      </c>
      <c r="Y95" s="1022">
        <v>276</v>
      </c>
      <c r="Z95" s="1023">
        <f t="shared" si="46"/>
        <v>1738</v>
      </c>
      <c r="AA95" s="1024"/>
      <c r="AB95" s="1026">
        <f t="shared" si="47"/>
        <v>4819</v>
      </c>
      <c r="AD95" s="959" t="s">
        <v>88</v>
      </c>
      <c r="AE95" s="960">
        <f>I92</f>
        <v>2951</v>
      </c>
      <c r="AF95" s="963">
        <f>AE95/AE94</f>
        <v>0.67636947054778818</v>
      </c>
      <c r="AG95" s="904"/>
      <c r="AH95" s="212"/>
      <c r="AI95" s="904"/>
      <c r="AJ95" s="989"/>
      <c r="AK95" s="988"/>
      <c r="AL95" s="989"/>
      <c r="AM95" s="990"/>
      <c r="AN95" s="1027"/>
      <c r="AO95" s="212"/>
    </row>
    <row r="96" spans="1:45" ht="15" thickBot="1" x14ac:dyDescent="0.35">
      <c r="A96" s="997" t="s">
        <v>101</v>
      </c>
      <c r="B96" s="998"/>
      <c r="C96" s="998"/>
      <c r="D96" s="1028"/>
      <c r="E96" s="949"/>
      <c r="F96" s="949"/>
      <c r="G96" s="1029"/>
      <c r="H96" s="1030"/>
      <c r="I96" s="1031">
        <f t="shared" si="48"/>
        <v>0</v>
      </c>
      <c r="J96" s="1032"/>
      <c r="K96" s="1033"/>
      <c r="L96" s="1007"/>
      <c r="M96" s="1034"/>
      <c r="N96" s="1007"/>
      <c r="O96" s="1007"/>
      <c r="P96" s="1035"/>
      <c r="Q96" s="1031">
        <f t="shared" si="45"/>
        <v>0</v>
      </c>
      <c r="R96" s="1032"/>
      <c r="S96" s="1033">
        <v>0</v>
      </c>
      <c r="T96" s="949">
        <v>0</v>
      </c>
      <c r="U96" s="949">
        <v>0</v>
      </c>
      <c r="V96" s="949"/>
      <c r="W96" s="949"/>
      <c r="X96" s="1005"/>
      <c r="Y96" s="1012"/>
      <c r="Z96" s="1009">
        <f t="shared" si="46"/>
        <v>0</v>
      </c>
      <c r="AA96" s="1032"/>
      <c r="AB96" s="1036">
        <f t="shared" si="47"/>
        <v>0</v>
      </c>
      <c r="AD96" s="370"/>
      <c r="AE96" s="210"/>
      <c r="AF96" s="1037"/>
      <c r="AG96" s="1037"/>
      <c r="AH96" s="1038"/>
      <c r="AI96" s="977"/>
      <c r="AJ96" s="76"/>
      <c r="AK96" s="977"/>
      <c r="AL96" s="977"/>
      <c r="AM96" s="1039"/>
    </row>
    <row r="97" spans="1:39" ht="16" thickBot="1" x14ac:dyDescent="0.4">
      <c r="A97" s="978" t="s">
        <v>102</v>
      </c>
      <c r="B97" s="979"/>
      <c r="C97" s="979"/>
      <c r="D97" s="897">
        <v>49</v>
      </c>
      <c r="E97" s="1014">
        <v>95</v>
      </c>
      <c r="F97" s="1014">
        <v>0</v>
      </c>
      <c r="G97" s="957">
        <v>36</v>
      </c>
      <c r="H97" s="1015">
        <v>13</v>
      </c>
      <c r="I97" s="892">
        <f t="shared" si="48"/>
        <v>193</v>
      </c>
      <c r="J97" s="1016"/>
      <c r="K97" s="1017">
        <v>25</v>
      </c>
      <c r="L97" s="895">
        <v>1</v>
      </c>
      <c r="M97" s="1018">
        <v>28</v>
      </c>
      <c r="N97" s="895">
        <v>31</v>
      </c>
      <c r="O97" s="895">
        <v>1</v>
      </c>
      <c r="P97" s="896">
        <v>25</v>
      </c>
      <c r="Q97" s="892">
        <f t="shared" si="45"/>
        <v>111</v>
      </c>
      <c r="R97" s="1016"/>
      <c r="S97" s="1019">
        <v>30</v>
      </c>
      <c r="T97" s="893">
        <v>17</v>
      </c>
      <c r="U97" s="893">
        <v>23</v>
      </c>
      <c r="V97" s="893">
        <v>22</v>
      </c>
      <c r="W97" s="893">
        <v>34</v>
      </c>
      <c r="X97" s="893">
        <v>53</v>
      </c>
      <c r="Y97" s="1020">
        <v>41</v>
      </c>
      <c r="Z97" s="892">
        <f t="shared" si="46"/>
        <v>220</v>
      </c>
      <c r="AA97" s="1016"/>
      <c r="AB97" s="321">
        <f t="shared" si="47"/>
        <v>524</v>
      </c>
      <c r="AD97" s="860" t="s">
        <v>12</v>
      </c>
      <c r="AE97" s="861" t="s">
        <v>21</v>
      </c>
      <c r="AF97" s="862" t="s">
        <v>80</v>
      </c>
      <c r="AG97" s="976"/>
      <c r="AH97" s="977"/>
      <c r="AI97" s="977"/>
      <c r="AJ97" s="977"/>
      <c r="AK97" s="977"/>
      <c r="AL97" s="977"/>
      <c r="AM97" s="1040"/>
    </row>
    <row r="98" spans="1:39" x14ac:dyDescent="0.35">
      <c r="A98" s="908" t="s">
        <v>103</v>
      </c>
      <c r="B98" s="909"/>
      <c r="C98" s="909"/>
      <c r="D98" s="897">
        <v>837</v>
      </c>
      <c r="E98" s="1021">
        <v>1331</v>
      </c>
      <c r="F98" s="1021">
        <v>8</v>
      </c>
      <c r="G98" s="1021">
        <v>591</v>
      </c>
      <c r="H98" s="1022">
        <v>389</v>
      </c>
      <c r="I98" s="892">
        <f t="shared" si="48"/>
        <v>3156</v>
      </c>
      <c r="J98" s="1016"/>
      <c r="K98" s="1017">
        <v>651</v>
      </c>
      <c r="L98" s="895">
        <v>17</v>
      </c>
      <c r="M98" s="1018">
        <v>462</v>
      </c>
      <c r="N98" s="895">
        <v>567</v>
      </c>
      <c r="O98" s="895">
        <v>13</v>
      </c>
      <c r="P98" s="896">
        <v>423</v>
      </c>
      <c r="Q98" s="892">
        <f t="shared" si="45"/>
        <v>2133</v>
      </c>
      <c r="R98" s="1016"/>
      <c r="S98" s="1041">
        <v>589</v>
      </c>
      <c r="T98" s="1042">
        <v>379</v>
      </c>
      <c r="U98" s="1042">
        <v>309</v>
      </c>
      <c r="V98" s="1042">
        <v>377</v>
      </c>
      <c r="W98" s="1042">
        <v>257</v>
      </c>
      <c r="X98" s="1042">
        <v>368</v>
      </c>
      <c r="Y98" s="1015">
        <v>248</v>
      </c>
      <c r="Z98" s="892">
        <f t="shared" si="46"/>
        <v>2527</v>
      </c>
      <c r="AA98" s="1016"/>
      <c r="AB98" s="1026">
        <f t="shared" si="47"/>
        <v>7816</v>
      </c>
      <c r="AD98" s="882" t="s">
        <v>83</v>
      </c>
      <c r="AE98" s="883">
        <f>Q81</f>
        <v>1406</v>
      </c>
      <c r="AF98" s="884"/>
      <c r="AG98" s="904"/>
      <c r="AH98" s="844"/>
      <c r="AI98" s="977"/>
      <c r="AJ98" s="977"/>
      <c r="AK98" s="977"/>
      <c r="AL98" s="983"/>
      <c r="AM98" s="1043"/>
    </row>
    <row r="99" spans="1:39" ht="12.75" customHeight="1" x14ac:dyDescent="0.3">
      <c r="A99" s="997" t="s">
        <v>104</v>
      </c>
      <c r="B99" s="998"/>
      <c r="C99" s="998"/>
      <c r="D99" s="1028"/>
      <c r="E99" s="949"/>
      <c r="F99" s="949"/>
      <c r="G99" s="1029">
        <v>0</v>
      </c>
      <c r="H99" s="1030"/>
      <c r="I99" s="1031">
        <f t="shared" si="48"/>
        <v>0</v>
      </c>
      <c r="J99" s="1032"/>
      <c r="K99" s="1033"/>
      <c r="L99" s="1007"/>
      <c r="M99" s="1044"/>
      <c r="N99" s="1007"/>
      <c r="O99" s="1007"/>
      <c r="P99" s="1008"/>
      <c r="Q99" s="1031">
        <f t="shared" si="45"/>
        <v>0</v>
      </c>
      <c r="R99" s="1032"/>
      <c r="S99" s="1010"/>
      <c r="T99" s="1011"/>
      <c r="U99" s="1011"/>
      <c r="V99" s="949"/>
      <c r="W99" s="949"/>
      <c r="X99" s="949"/>
      <c r="Y99" s="1030"/>
      <c r="Z99" s="1009">
        <f t="shared" si="46"/>
        <v>0</v>
      </c>
      <c r="AA99" s="1032"/>
      <c r="AB99" s="1036">
        <f t="shared" si="47"/>
        <v>0</v>
      </c>
      <c r="AC99" s="1045"/>
      <c r="AD99" s="900" t="s">
        <v>88</v>
      </c>
      <c r="AE99" s="901">
        <f>Q83</f>
        <v>836</v>
      </c>
      <c r="AF99" s="933">
        <f>AE99/AE98</f>
        <v>0.59459459459459463</v>
      </c>
      <c r="AG99" s="904"/>
      <c r="AH99" s="212"/>
      <c r="AI99" s="904"/>
      <c r="AJ99" s="977"/>
      <c r="AK99" s="977"/>
      <c r="AL99" s="1046"/>
      <c r="AM99" s="988"/>
    </row>
    <row r="100" spans="1:39" x14ac:dyDescent="0.35">
      <c r="A100" s="978" t="s">
        <v>105</v>
      </c>
      <c r="B100" s="979"/>
      <c r="C100" s="979"/>
      <c r="D100" s="897">
        <v>0</v>
      </c>
      <c r="E100" s="1014">
        <v>10</v>
      </c>
      <c r="F100" s="1014"/>
      <c r="G100" s="957">
        <v>0</v>
      </c>
      <c r="H100" s="1015"/>
      <c r="I100" s="892">
        <f t="shared" si="48"/>
        <v>10</v>
      </c>
      <c r="J100" s="1016"/>
      <c r="K100" s="1017">
        <v>10</v>
      </c>
      <c r="L100" s="895">
        <v>0</v>
      </c>
      <c r="M100" s="1018">
        <v>0</v>
      </c>
      <c r="N100" s="895">
        <v>0</v>
      </c>
      <c r="O100" s="895">
        <v>0</v>
      </c>
      <c r="P100" s="896">
        <v>22</v>
      </c>
      <c r="Q100" s="892">
        <f t="shared" si="45"/>
        <v>32</v>
      </c>
      <c r="R100" s="1016"/>
      <c r="S100" s="1019"/>
      <c r="T100" s="893"/>
      <c r="U100" s="893"/>
      <c r="V100" s="1042"/>
      <c r="W100" s="1042"/>
      <c r="X100" s="1042"/>
      <c r="Y100" s="1015"/>
      <c r="Z100" s="892">
        <f t="shared" si="46"/>
        <v>0</v>
      </c>
      <c r="AA100" s="1016"/>
      <c r="AB100" s="321">
        <f t="shared" si="47"/>
        <v>42</v>
      </c>
      <c r="AD100" s="914" t="s">
        <v>89</v>
      </c>
      <c r="AE100" s="915">
        <f>Q84</f>
        <v>35351453.688761599</v>
      </c>
      <c r="AF100" s="916"/>
      <c r="AG100" s="904"/>
      <c r="AH100" s="904"/>
      <c r="AJ100" s="977"/>
      <c r="AK100" s="977"/>
      <c r="AL100" s="982"/>
      <c r="AM100" s="991"/>
    </row>
    <row r="101" spans="1:39" x14ac:dyDescent="0.35">
      <c r="A101" s="1047" t="s">
        <v>36</v>
      </c>
      <c r="B101" s="1048"/>
      <c r="C101" s="1049"/>
      <c r="D101" s="1050">
        <v>171</v>
      </c>
      <c r="E101" s="1042">
        <v>261</v>
      </c>
      <c r="F101" s="1042"/>
      <c r="G101" s="957">
        <v>0</v>
      </c>
      <c r="H101" s="1015"/>
      <c r="I101" s="892">
        <f t="shared" si="48"/>
        <v>432</v>
      </c>
      <c r="J101" s="1016"/>
      <c r="K101" s="1017">
        <v>140</v>
      </c>
      <c r="L101" s="895">
        <v>0</v>
      </c>
      <c r="M101" s="1018">
        <v>0</v>
      </c>
      <c r="N101" s="895">
        <v>0</v>
      </c>
      <c r="O101" s="895">
        <v>0</v>
      </c>
      <c r="P101" s="896">
        <v>130</v>
      </c>
      <c r="Q101" s="892">
        <f t="shared" si="45"/>
        <v>270</v>
      </c>
      <c r="R101" s="1016"/>
      <c r="S101" s="1019"/>
      <c r="T101" s="893"/>
      <c r="U101" s="893"/>
      <c r="V101" s="1051"/>
      <c r="W101" s="1051"/>
      <c r="X101" s="1051"/>
      <c r="Y101" s="1052"/>
      <c r="Z101" s="1053">
        <f t="shared" si="46"/>
        <v>0</v>
      </c>
      <c r="AA101" s="1016"/>
      <c r="AB101" s="1026">
        <f t="shared" si="47"/>
        <v>702</v>
      </c>
      <c r="AC101" s="675"/>
      <c r="AD101" s="900" t="s">
        <v>88</v>
      </c>
      <c r="AE101" s="932">
        <f>Q86</f>
        <v>24868765.810000006</v>
      </c>
      <c r="AF101" s="933">
        <f>AE101/AE100</f>
        <v>0.70347222575194723</v>
      </c>
      <c r="AG101" s="904"/>
      <c r="AH101" s="212"/>
      <c r="AI101" s="904"/>
      <c r="AJ101" s="977"/>
      <c r="AK101" s="977"/>
      <c r="AL101" s="989"/>
      <c r="AM101" s="988"/>
    </row>
    <row r="102" spans="1:39" ht="15" customHeight="1" x14ac:dyDescent="0.3">
      <c r="A102" s="997" t="s">
        <v>106</v>
      </c>
      <c r="B102" s="998"/>
      <c r="C102" s="998"/>
      <c r="D102" s="1028"/>
      <c r="E102" s="949"/>
      <c r="F102" s="949"/>
      <c r="G102" s="1029"/>
      <c r="H102" s="951"/>
      <c r="I102" s="1031">
        <f t="shared" si="48"/>
        <v>0</v>
      </c>
      <c r="J102" s="1032"/>
      <c r="K102" s="1033"/>
      <c r="L102" s="1007"/>
      <c r="M102" s="1007"/>
      <c r="N102" s="1007"/>
      <c r="O102" s="1007"/>
      <c r="P102" s="1008"/>
      <c r="Q102" s="1031">
        <f t="shared" si="45"/>
        <v>0</v>
      </c>
      <c r="R102" s="1032"/>
      <c r="S102" s="1054"/>
      <c r="T102" s="1011"/>
      <c r="U102" s="1011"/>
      <c r="V102" s="1030"/>
      <c r="W102" s="949"/>
      <c r="X102" s="949"/>
      <c r="Y102" s="951"/>
      <c r="Z102" s="1009">
        <f t="shared" si="46"/>
        <v>0</v>
      </c>
      <c r="AA102" s="1032"/>
      <c r="AB102" s="1036">
        <f t="shared" si="47"/>
        <v>0</v>
      </c>
      <c r="AD102" s="914" t="s">
        <v>92</v>
      </c>
      <c r="AE102" s="915">
        <f>Q87</f>
        <v>41093484.374841601</v>
      </c>
      <c r="AF102" s="916"/>
      <c r="AG102" s="904"/>
      <c r="AI102" s="844"/>
      <c r="AJ102" s="977"/>
      <c r="AK102" s="977"/>
      <c r="AL102" s="982"/>
      <c r="AM102" s="991"/>
    </row>
    <row r="103" spans="1:39" x14ac:dyDescent="0.35">
      <c r="A103" s="978" t="s">
        <v>107</v>
      </c>
      <c r="B103" s="979"/>
      <c r="C103" s="979"/>
      <c r="D103" s="1055">
        <v>8</v>
      </c>
      <c r="E103" s="1056">
        <v>0</v>
      </c>
      <c r="F103" s="1056"/>
      <c r="G103" s="1057">
        <v>0</v>
      </c>
      <c r="H103" s="57"/>
      <c r="I103" s="54">
        <f t="shared" si="48"/>
        <v>8</v>
      </c>
      <c r="J103" s="1058"/>
      <c r="K103" s="1059">
        <v>0</v>
      </c>
      <c r="L103" s="1060">
        <v>0</v>
      </c>
      <c r="M103" s="1061">
        <v>0</v>
      </c>
      <c r="N103" s="1062">
        <v>0</v>
      </c>
      <c r="O103" s="1062">
        <v>0</v>
      </c>
      <c r="P103" s="1063">
        <v>1</v>
      </c>
      <c r="Q103" s="54">
        <f t="shared" si="45"/>
        <v>1</v>
      </c>
      <c r="R103" s="1058"/>
      <c r="S103" s="1064"/>
      <c r="T103" s="1065"/>
      <c r="U103" s="1066"/>
      <c r="V103" s="1067"/>
      <c r="W103" s="1068"/>
      <c r="X103" s="1068"/>
      <c r="Y103" s="1069"/>
      <c r="Z103" s="1070">
        <f t="shared" si="46"/>
        <v>0</v>
      </c>
      <c r="AA103" s="1058"/>
      <c r="AB103" s="1071">
        <f t="shared" si="47"/>
        <v>9</v>
      </c>
      <c r="AD103" s="900" t="s">
        <v>88</v>
      </c>
      <c r="AE103" s="932">
        <f>Q89</f>
        <v>26457394.180000003</v>
      </c>
      <c r="AF103" s="933">
        <f>AE103/AE102</f>
        <v>0.64383428620128991</v>
      </c>
      <c r="AG103" s="904"/>
      <c r="AH103" s="212"/>
      <c r="AI103" s="904"/>
      <c r="AJ103" s="1072"/>
      <c r="AK103" s="1072"/>
      <c r="AL103" s="989"/>
      <c r="AM103" s="988"/>
    </row>
    <row r="104" spans="1:39" ht="15" thickBot="1" x14ac:dyDescent="0.4">
      <c r="A104" s="1073" t="s">
        <v>36</v>
      </c>
      <c r="B104" s="1074"/>
      <c r="C104" s="1074"/>
      <c r="D104" s="1075">
        <v>23</v>
      </c>
      <c r="E104" s="1076">
        <v>22</v>
      </c>
      <c r="F104" s="1076"/>
      <c r="G104" s="1076">
        <v>0</v>
      </c>
      <c r="H104" s="1077"/>
      <c r="I104" s="1078">
        <f t="shared" si="48"/>
        <v>45</v>
      </c>
      <c r="J104" s="1058"/>
      <c r="K104" s="1079">
        <v>3</v>
      </c>
      <c r="L104" s="1080">
        <v>0</v>
      </c>
      <c r="M104" s="1081">
        <v>0</v>
      </c>
      <c r="N104" s="1080">
        <v>0</v>
      </c>
      <c r="O104" s="1080">
        <v>0</v>
      </c>
      <c r="P104" s="1082">
        <v>9</v>
      </c>
      <c r="Q104" s="1078">
        <f t="shared" si="45"/>
        <v>12</v>
      </c>
      <c r="R104" s="1058"/>
      <c r="S104" s="1083"/>
      <c r="T104" s="1084"/>
      <c r="U104" s="1085"/>
      <c r="V104" s="1086"/>
      <c r="W104" s="1087"/>
      <c r="X104" s="1087"/>
      <c r="Y104" s="1088"/>
      <c r="Z104" s="1089">
        <f t="shared" si="46"/>
        <v>0</v>
      </c>
      <c r="AA104" s="1058"/>
      <c r="AB104" s="1090">
        <f t="shared" si="47"/>
        <v>57</v>
      </c>
      <c r="AC104" s="210"/>
      <c r="AD104" s="914" t="s">
        <v>94</v>
      </c>
      <c r="AE104" s="915">
        <f>Q90</f>
        <v>3373</v>
      </c>
      <c r="AF104" s="916"/>
      <c r="AG104" s="844"/>
      <c r="AH104" s="844"/>
      <c r="AI104" s="844"/>
      <c r="AJ104" s="977"/>
      <c r="AK104" s="977"/>
      <c r="AL104" s="982"/>
      <c r="AM104" s="991"/>
    </row>
    <row r="105" spans="1:39" s="45" customFormat="1" ht="14.25" customHeight="1" thickTop="1" thickBot="1" x14ac:dyDescent="0.4">
      <c r="D105" s="66"/>
      <c r="E105" s="66"/>
      <c r="F105" s="66"/>
      <c r="J105" s="1072"/>
      <c r="R105" s="1072"/>
      <c r="AA105" s="1072"/>
      <c r="AD105" s="959" t="s">
        <v>88</v>
      </c>
      <c r="AE105" s="960">
        <f>Q92</f>
        <v>2120</v>
      </c>
      <c r="AF105" s="961">
        <f>AE105/AE104</f>
        <v>0.62852060480284611</v>
      </c>
      <c r="AG105" s="904"/>
      <c r="AH105" s="212"/>
      <c r="AI105" s="904"/>
      <c r="AJ105" s="977"/>
      <c r="AK105" s="977"/>
      <c r="AL105" s="989"/>
      <c r="AM105" s="988"/>
    </row>
    <row r="106" spans="1:39" ht="13" x14ac:dyDescent="0.35">
      <c r="A106" s="1091" t="s">
        <v>108</v>
      </c>
      <c r="B106" s="1092"/>
      <c r="D106" s="1093">
        <f t="shared" ref="D106:I107" si="49">D5/D$4</f>
        <v>8742.360654867256</v>
      </c>
      <c r="E106" s="1094">
        <f t="shared" si="49"/>
        <v>8244.6209121432566</v>
      </c>
      <c r="F106" s="1095"/>
      <c r="G106" s="1094">
        <f t="shared" si="49"/>
        <v>7427.0510411622281</v>
      </c>
      <c r="H106" s="1096">
        <f t="shared" si="49"/>
        <v>9403.5477386934672</v>
      </c>
      <c r="I106" s="1097">
        <f t="shared" si="49"/>
        <v>8378.0339331797222</v>
      </c>
      <c r="J106" s="653"/>
      <c r="K106" s="1098">
        <f>K5/K$4</f>
        <v>6729.0326797385624</v>
      </c>
      <c r="L106" s="1095"/>
      <c r="M106" s="1099">
        <f>M5/M$4</f>
        <v>6974.1391509433961</v>
      </c>
      <c r="N106" s="1100">
        <f>N5/N$4</f>
        <v>7341.217086720867</v>
      </c>
      <c r="O106" s="1095"/>
      <c r="P106" s="1101">
        <f>P5/P$4</f>
        <v>7208.6172248803832</v>
      </c>
      <c r="Q106" s="1102">
        <f>Q5/Q$4</f>
        <v>7035.7531810923028</v>
      </c>
      <c r="R106" s="653"/>
      <c r="S106" s="1103">
        <f t="shared" ref="S106:Z107" si="50">S5/S$4</f>
        <v>6775.7743412162163</v>
      </c>
      <c r="T106" s="1100">
        <f t="shared" si="50"/>
        <v>6471.9642929806714</v>
      </c>
      <c r="U106" s="1100">
        <f t="shared" si="50"/>
        <v>7370.5970860927146</v>
      </c>
      <c r="V106" s="1100">
        <f t="shared" si="50"/>
        <v>7098.6011695906436</v>
      </c>
      <c r="W106" s="1100">
        <f t="shared" si="50"/>
        <v>6050.5226890756303</v>
      </c>
      <c r="X106" s="1100">
        <f t="shared" si="50"/>
        <v>8047.7208121827407</v>
      </c>
      <c r="Y106" s="1101">
        <f t="shared" si="50"/>
        <v>9008.9650000000001</v>
      </c>
      <c r="Z106" s="1104">
        <f t="shared" si="50"/>
        <v>7079.5262592916479</v>
      </c>
      <c r="AA106" s="653"/>
      <c r="AB106" s="1104">
        <f>AB5/AB$4</f>
        <v>7536.020223329183</v>
      </c>
      <c r="AH106" s="977"/>
      <c r="AI106" s="977"/>
      <c r="AJ106" s="977"/>
      <c r="AK106" s="977"/>
      <c r="AL106" s="977"/>
      <c r="AM106" s="977"/>
    </row>
    <row r="107" spans="1:39" ht="13.5" thickBot="1" x14ac:dyDescent="0.4">
      <c r="A107" s="1105" t="s">
        <v>109</v>
      </c>
      <c r="B107" s="1106"/>
      <c r="D107" s="1107">
        <f t="shared" si="49"/>
        <v>4448.5357787610619</v>
      </c>
      <c r="E107" s="1108">
        <f t="shared" si="49"/>
        <v>3912.4055567991045</v>
      </c>
      <c r="F107" s="1109"/>
      <c r="G107" s="1108">
        <f t="shared" si="49"/>
        <v>4003.7939467312344</v>
      </c>
      <c r="H107" s="1110">
        <f t="shared" si="49"/>
        <v>4340.5376884422112</v>
      </c>
      <c r="I107" s="1111">
        <f t="shared" si="49"/>
        <v>4128.2831705069129</v>
      </c>
      <c r="J107" s="653"/>
      <c r="K107" s="1112">
        <f>K6/K$4</f>
        <v>3247.1448801742918</v>
      </c>
      <c r="L107" s="1109"/>
      <c r="M107" s="1113">
        <f>M6/M$4</f>
        <v>3317.7287735849059</v>
      </c>
      <c r="N107" s="1114">
        <f>N6/N$4</f>
        <v>3575.7575880758809</v>
      </c>
      <c r="O107" s="1109"/>
      <c r="P107" s="1115">
        <f>P6/P$4</f>
        <v>3076.969696969697</v>
      </c>
      <c r="Q107" s="1116">
        <f>Q6/Q$4</f>
        <v>3309.6397636537845</v>
      </c>
      <c r="R107" s="653"/>
      <c r="S107" s="1107">
        <f t="shared" si="50"/>
        <v>3729.5602364864867</v>
      </c>
      <c r="T107" s="1108">
        <f t="shared" si="50"/>
        <v>3471.2992065106819</v>
      </c>
      <c r="U107" s="1108">
        <f t="shared" si="50"/>
        <v>3572.9060132450331</v>
      </c>
      <c r="V107" s="1108">
        <f t="shared" si="50"/>
        <v>3728.8070175438597</v>
      </c>
      <c r="W107" s="1108">
        <f t="shared" si="50"/>
        <v>3064.6873949579831</v>
      </c>
      <c r="X107" s="1108">
        <f t="shared" si="50"/>
        <v>4628.4137055837564</v>
      </c>
      <c r="Y107" s="1110">
        <f t="shared" si="50"/>
        <v>4039.5577500000004</v>
      </c>
      <c r="Z107" s="1117">
        <f t="shared" si="50"/>
        <v>3666.1057979886314</v>
      </c>
      <c r="AA107" s="653"/>
      <c r="AB107" s="1117">
        <f>AB6/AB$4</f>
        <v>3739.9750087173106</v>
      </c>
      <c r="AH107" s="977"/>
      <c r="AI107" s="977"/>
      <c r="AJ107" s="977"/>
      <c r="AK107" s="977"/>
      <c r="AL107" s="977"/>
      <c r="AM107" s="977"/>
    </row>
    <row r="108" spans="1:39" ht="13.5" thickBot="1" x14ac:dyDescent="0.4">
      <c r="A108" s="1091" t="s">
        <v>110</v>
      </c>
      <c r="B108" s="1092"/>
      <c r="D108" s="1103">
        <f t="shared" ref="D108:I109" si="51">D10/D$9</f>
        <v>15165.354083601287</v>
      </c>
      <c r="E108" s="1100">
        <f t="shared" si="51"/>
        <v>3584.21917721519</v>
      </c>
      <c r="F108" s="1100">
        <f t="shared" si="51"/>
        <v>49797.574375000004</v>
      </c>
      <c r="G108" s="1100">
        <f t="shared" si="51"/>
        <v>16059.804375</v>
      </c>
      <c r="H108" s="1101">
        <f t="shared" si="51"/>
        <v>15582.213197969542</v>
      </c>
      <c r="I108" s="1118">
        <f t="shared" si="51"/>
        <v>16945.01579248366</v>
      </c>
      <c r="J108" s="653"/>
      <c r="K108" s="1103">
        <f t="shared" ref="K108:Q109" si="52">K10/K$9</f>
        <v>5105.9364161849708</v>
      </c>
      <c r="L108" s="1119">
        <f t="shared" si="52"/>
        <v>47074.988192771081</v>
      </c>
      <c r="M108" s="1100">
        <f t="shared" si="52"/>
        <v>8155.4362745098042</v>
      </c>
      <c r="N108" s="1100">
        <f t="shared" si="52"/>
        <v>2883.2533593749999</v>
      </c>
      <c r="O108" s="1119">
        <f t="shared" si="52"/>
        <v>32164.093142857142</v>
      </c>
      <c r="P108" s="1120">
        <f t="shared" si="52"/>
        <v>11975.946223776224</v>
      </c>
      <c r="Q108" s="1104">
        <f t="shared" si="52"/>
        <v>14250.127440191387</v>
      </c>
      <c r="R108" s="653"/>
      <c r="S108" s="1103">
        <f t="shared" ref="S108:Z109" si="53">S10/S$9</f>
        <v>11805.113100775194</v>
      </c>
      <c r="T108" s="1100">
        <f t="shared" si="53"/>
        <v>12064.708470149255</v>
      </c>
      <c r="U108" s="1100">
        <f t="shared" si="53"/>
        <v>20951.366204379563</v>
      </c>
      <c r="V108" s="1100">
        <f t="shared" si="53"/>
        <v>9187.9642857142862</v>
      </c>
      <c r="W108" s="1100">
        <f t="shared" si="53"/>
        <v>10612.462809917355</v>
      </c>
      <c r="X108" s="1100">
        <f t="shared" si="53"/>
        <v>13155.08</v>
      </c>
      <c r="Y108" s="1101">
        <f t="shared" si="53"/>
        <v>9215.2558139534885</v>
      </c>
      <c r="Z108" s="1104">
        <f t="shared" si="53"/>
        <v>12177.112949438202</v>
      </c>
      <c r="AA108" s="653"/>
      <c r="AB108" s="1104">
        <f>AB10/AB$9</f>
        <v>14596.855019181585</v>
      </c>
    </row>
    <row r="109" spans="1:39" ht="13.5" thickBot="1" x14ac:dyDescent="0.4">
      <c r="A109" s="1121" t="s">
        <v>111</v>
      </c>
      <c r="B109" s="1122"/>
      <c r="D109" s="1107">
        <f t="shared" si="51"/>
        <v>7367.6515755627015</v>
      </c>
      <c r="E109" s="1108">
        <f>E11/E$9</f>
        <v>1760.9817405063291</v>
      </c>
      <c r="F109" s="1108">
        <f>F11/F$9</f>
        <v>18914.655374999998</v>
      </c>
      <c r="G109" s="1108">
        <f t="shared" si="51"/>
        <v>7653.163333333333</v>
      </c>
      <c r="H109" s="1110">
        <f t="shared" si="51"/>
        <v>4919.1370558375638</v>
      </c>
      <c r="I109" s="1117">
        <f t="shared" si="51"/>
        <v>7091.4901388888884</v>
      </c>
      <c r="J109" s="653"/>
      <c r="K109" s="1107">
        <f t="shared" si="52"/>
        <v>3667.092485549133</v>
      </c>
      <c r="L109" s="1108">
        <f t="shared" si="52"/>
        <v>14030.284819277107</v>
      </c>
      <c r="M109" s="1108">
        <f t="shared" si="52"/>
        <v>4502.3431372549021</v>
      </c>
      <c r="N109" s="1108">
        <f t="shared" si="52"/>
        <v>1958.09765625</v>
      </c>
      <c r="O109" s="1123">
        <f t="shared" si="52"/>
        <v>12377.733333333334</v>
      </c>
      <c r="P109" s="1124">
        <f t="shared" si="52"/>
        <v>6992.186503496504</v>
      </c>
      <c r="Q109" s="1117">
        <f t="shared" si="52"/>
        <v>6300.9327870813395</v>
      </c>
      <c r="R109" s="653"/>
      <c r="S109" s="1103">
        <f t="shared" si="53"/>
        <v>5410.2255813953489</v>
      </c>
      <c r="T109" s="1100">
        <f t="shared" si="53"/>
        <v>5053.1877611940299</v>
      </c>
      <c r="U109" s="1100">
        <f t="shared" si="53"/>
        <v>6541.4391240875912</v>
      </c>
      <c r="V109" s="1100">
        <f t="shared" si="53"/>
        <v>5601.2857142857147</v>
      </c>
      <c r="W109" s="1100">
        <f t="shared" si="53"/>
        <v>6407.3801652892562</v>
      </c>
      <c r="X109" s="1100">
        <f t="shared" si="53"/>
        <v>7746.8</v>
      </c>
      <c r="Y109" s="1101">
        <f t="shared" si="53"/>
        <v>3393.1395348837209</v>
      </c>
      <c r="Z109" s="1104">
        <f t="shared" si="53"/>
        <v>5625.4565355805244</v>
      </c>
      <c r="AA109" s="653"/>
      <c r="AB109" s="1117">
        <f>AB11/AB$9</f>
        <v>6379.6519565217395</v>
      </c>
    </row>
    <row r="110" spans="1:39" ht="13.5" thickBot="1" x14ac:dyDescent="0.4">
      <c r="A110" s="23"/>
      <c r="D110" s="1125"/>
      <c r="E110" s="653">
        <f>E82/E80</f>
        <v>1.3314646110721794E-2</v>
      </c>
      <c r="F110" s="653"/>
      <c r="G110" s="23"/>
      <c r="H110" s="23"/>
      <c r="I110" s="23"/>
      <c r="J110" s="1126"/>
      <c r="K110" s="1127"/>
      <c r="L110" s="23"/>
      <c r="M110" s="23"/>
      <c r="N110" s="23"/>
      <c r="O110" s="23"/>
      <c r="P110" s="23"/>
      <c r="Q110" s="23"/>
      <c r="R110" s="1126"/>
      <c r="S110" s="23"/>
      <c r="T110" s="23"/>
      <c r="U110" s="23"/>
      <c r="V110" s="23"/>
      <c r="W110" s="23"/>
      <c r="X110" s="23"/>
      <c r="Y110" s="23"/>
      <c r="Z110" s="23"/>
      <c r="AA110" s="1126"/>
      <c r="AB110" s="23"/>
    </row>
    <row r="111" spans="1:39" thickBot="1" x14ac:dyDescent="0.4">
      <c r="A111" s="1128" t="s">
        <v>112</v>
      </c>
      <c r="B111" s="1129" t="s">
        <v>113</v>
      </c>
      <c r="C111" s="1130"/>
      <c r="D111" s="1131">
        <f>D83/D81</f>
        <v>0.61462450592885376</v>
      </c>
      <c r="E111" s="1132">
        <f t="shared" ref="E111:I111" si="54">E83/E81</f>
        <v>0.75238095238095237</v>
      </c>
      <c r="F111" s="1133">
        <f t="shared" si="54"/>
        <v>0.64777327935222673</v>
      </c>
      <c r="G111" s="1132">
        <f t="shared" si="54"/>
        <v>0.676056338028169</v>
      </c>
      <c r="H111" s="1134">
        <f t="shared" si="54"/>
        <v>0.65886287625418061</v>
      </c>
      <c r="I111" s="1135">
        <f t="shared" si="54"/>
        <v>0.66995073891625612</v>
      </c>
      <c r="K111" s="1131">
        <f t="shared" ref="K111:AB111" si="55">K83/K81</f>
        <v>0.63837638376383765</v>
      </c>
      <c r="L111" s="1133">
        <f>L83/L81</f>
        <v>0.57241379310344831</v>
      </c>
      <c r="M111" s="1133">
        <f>M83/M81</f>
        <v>0.52040816326530615</v>
      </c>
      <c r="N111" s="1133">
        <f t="shared" si="55"/>
        <v>0.55895196506550215</v>
      </c>
      <c r="O111" s="1133">
        <f t="shared" si="55"/>
        <v>0.65625</v>
      </c>
      <c r="P111" s="1134">
        <f>P83/P81</f>
        <v>0.68421052631578949</v>
      </c>
      <c r="Q111" s="1136">
        <f>Q83/Q81</f>
        <v>0.59459459459459463</v>
      </c>
      <c r="R111" s="1137"/>
      <c r="S111" s="1131">
        <f t="shared" si="55"/>
        <v>0.58636363636363631</v>
      </c>
      <c r="T111" s="1133">
        <f t="shared" si="55"/>
        <v>0.70157068062827221</v>
      </c>
      <c r="U111" s="1133">
        <f t="shared" si="55"/>
        <v>0.7098445595854922</v>
      </c>
      <c r="V111" s="1133">
        <f t="shared" si="55"/>
        <v>0.64122137404580148</v>
      </c>
      <c r="W111" s="1133">
        <f t="shared" si="55"/>
        <v>0.62694300518134716</v>
      </c>
      <c r="X111" s="1133">
        <f t="shared" si="55"/>
        <v>0.56390977443609025</v>
      </c>
      <c r="Y111" s="1134">
        <f>Y83/Y81</f>
        <v>0.61428571428571432</v>
      </c>
      <c r="Z111" s="1138">
        <f t="shared" si="55"/>
        <v>0.64570737605804107</v>
      </c>
      <c r="AA111" s="1137"/>
      <c r="AB111" s="1139">
        <f t="shared" si="55"/>
        <v>0.64006547984448536</v>
      </c>
    </row>
    <row r="112" spans="1:39" ht="13" x14ac:dyDescent="0.35">
      <c r="A112" s="1140" t="s">
        <v>114</v>
      </c>
      <c r="B112" s="23"/>
      <c r="D112" s="1141">
        <f>D86/D84</f>
        <v>0.8680414230237905</v>
      </c>
      <c r="E112" s="1142">
        <f t="shared" ref="E112:I112" si="56">E86/E84</f>
        <v>0.70096115138534887</v>
      </c>
      <c r="F112" s="1142">
        <f t="shared" si="56"/>
        <v>0.48289198165947222</v>
      </c>
      <c r="G112" s="1142">
        <f t="shared" si="56"/>
        <v>0.7765083828129743</v>
      </c>
      <c r="H112" s="902">
        <f t="shared" si="56"/>
        <v>0.87984494560516557</v>
      </c>
      <c r="I112" s="1143">
        <f t="shared" si="56"/>
        <v>0.74575463342269177</v>
      </c>
      <c r="K112" s="1141">
        <f>K86/K84</f>
        <v>0.90318491760066144</v>
      </c>
      <c r="L112" s="1142">
        <f>L86/L84</f>
        <v>0.78479398071363327</v>
      </c>
      <c r="M112" s="1142">
        <f>M86/M84</f>
        <v>0.76676436325987574</v>
      </c>
      <c r="N112" s="1142">
        <f t="shared" ref="N112:AB112" si="57">N86/N84</f>
        <v>0.58847220584909721</v>
      </c>
      <c r="O112" s="1142">
        <f t="shared" si="57"/>
        <v>0.55850009275370449</v>
      </c>
      <c r="P112" s="902">
        <f t="shared" si="57"/>
        <v>0.6010531101617973</v>
      </c>
      <c r="Q112" s="1144">
        <f>Q86/Q84</f>
        <v>0.70347222575194723</v>
      </c>
      <c r="R112" s="1137"/>
      <c r="S112" s="1141">
        <f t="shared" si="57"/>
        <v>0.64343201455164145</v>
      </c>
      <c r="T112" s="1142">
        <f t="shared" si="57"/>
        <v>0.80265649022199737</v>
      </c>
      <c r="U112" s="1142">
        <f t="shared" si="57"/>
        <v>0.69985150069910651</v>
      </c>
      <c r="V112" s="1142">
        <f t="shared" si="57"/>
        <v>0.60970597492198575</v>
      </c>
      <c r="W112" s="1142">
        <f>W86/W84</f>
        <v>0.74931169343296755</v>
      </c>
      <c r="X112" s="1142">
        <f t="shared" si="57"/>
        <v>0.67867452893074354</v>
      </c>
      <c r="Y112" s="902">
        <f t="shared" si="57"/>
        <v>0.80978417248727352</v>
      </c>
      <c r="Z112" s="1145">
        <f>Z86/Z84</f>
        <v>0.70545733864880134</v>
      </c>
      <c r="AA112" s="1137"/>
      <c r="AB112" s="1143">
        <f t="shared" si="57"/>
        <v>0.7204449894137861</v>
      </c>
    </row>
    <row r="113" spans="1:31" ht="13" x14ac:dyDescent="0.35">
      <c r="A113" s="1140" t="s">
        <v>115</v>
      </c>
      <c r="B113" s="23"/>
      <c r="D113" s="1146">
        <f>D89/D87</f>
        <v>0.76763802408957127</v>
      </c>
      <c r="E113" s="1142">
        <f t="shared" ref="E113:I113" si="58">E89/E87</f>
        <v>0.77692610895749825</v>
      </c>
      <c r="F113" s="1142">
        <f t="shared" si="58"/>
        <v>0.75242721919724231</v>
      </c>
      <c r="G113" s="1142">
        <f t="shared" si="58"/>
        <v>0.68491771946865831</v>
      </c>
      <c r="H113" s="902">
        <f t="shared" si="58"/>
        <v>0.85213919141905003</v>
      </c>
      <c r="I113" s="1144">
        <f t="shared" si="58"/>
        <v>0.76308778129445687</v>
      </c>
      <c r="K113" s="1141">
        <f>K89/K87</f>
        <v>0.7042039826907901</v>
      </c>
      <c r="L113" s="1142">
        <f t="shared" ref="L113:AB113" si="59">L89/L87</f>
        <v>0.97014621261382983</v>
      </c>
      <c r="M113" s="1142">
        <f t="shared" si="59"/>
        <v>0.5815281513490298</v>
      </c>
      <c r="N113" s="1142">
        <f t="shared" si="59"/>
        <v>0.59533554722561144</v>
      </c>
      <c r="O113" s="1142">
        <f>O89/O87</f>
        <v>0.59390566860346217</v>
      </c>
      <c r="P113" s="902">
        <f>P89/P87</f>
        <v>0.59772008943090849</v>
      </c>
      <c r="Q113" s="1144">
        <f>Q89/Q87</f>
        <v>0.64383428620128991</v>
      </c>
      <c r="R113" s="1137"/>
      <c r="S113" s="1141">
        <f t="shared" si="59"/>
        <v>0.5973329818317028</v>
      </c>
      <c r="T113" s="1142">
        <f>T89/T87</f>
        <v>0.61414631167399136</v>
      </c>
      <c r="U113" s="1142">
        <f t="shared" si="59"/>
        <v>0.7569470506136009</v>
      </c>
      <c r="V113" s="1142">
        <f t="shared" si="59"/>
        <v>0.48272873975664726</v>
      </c>
      <c r="W113" s="1142">
        <f t="shared" si="59"/>
        <v>0.65169921976987399</v>
      </c>
      <c r="X113" s="1142">
        <f t="shared" si="59"/>
        <v>0.66954892061859228</v>
      </c>
      <c r="Y113" s="902">
        <f t="shared" si="59"/>
        <v>0.80948275359814781</v>
      </c>
      <c r="Z113" s="1145">
        <f t="shared" si="59"/>
        <v>0.62567630557759202</v>
      </c>
      <c r="AA113" s="1137"/>
      <c r="AB113" s="1143">
        <f t="shared" si="59"/>
        <v>0.68328233489589374</v>
      </c>
    </row>
    <row r="114" spans="1:31" ht="13.5" thickBot="1" x14ac:dyDescent="0.4">
      <c r="A114" s="1147" t="s">
        <v>116</v>
      </c>
      <c r="B114" s="23"/>
      <c r="D114" s="1148">
        <f>D92/D90</f>
        <v>0.65483584738243128</v>
      </c>
      <c r="E114" s="1149">
        <f>E92/E90</f>
        <v>0.69090909090909092</v>
      </c>
      <c r="F114" s="1150"/>
      <c r="G114" s="1149">
        <f>G92/G90</f>
        <v>0.68735632183908046</v>
      </c>
      <c r="H114" s="1151">
        <f t="shared" ref="H114:AB114" si="60">H92/H90</f>
        <v>0.66111951588502271</v>
      </c>
      <c r="I114" s="1152">
        <f>I92/I90</f>
        <v>0.67636947054778818</v>
      </c>
      <c r="K114" s="1148">
        <f t="shared" si="60"/>
        <v>0.65363128491620115</v>
      </c>
      <c r="L114" s="1150"/>
      <c r="M114" s="1149">
        <f t="shared" si="60"/>
        <v>0.63139534883720927</v>
      </c>
      <c r="N114" s="1149">
        <f t="shared" si="60"/>
        <v>0.6283783783783784</v>
      </c>
      <c r="O114" s="1150"/>
      <c r="P114" s="1151">
        <f t="shared" si="60"/>
        <v>0.59452054794520548</v>
      </c>
      <c r="Q114" s="1153">
        <f t="shared" si="60"/>
        <v>0.62852060480284611</v>
      </c>
      <c r="R114" s="1137"/>
      <c r="S114" s="1148">
        <f t="shared" si="60"/>
        <v>0.65174129353233834</v>
      </c>
      <c r="T114" s="1149">
        <f t="shared" si="60"/>
        <v>0.6970649895178197</v>
      </c>
      <c r="U114" s="1149">
        <f>U92/U90</f>
        <v>0.67983651226158037</v>
      </c>
      <c r="V114" s="1149">
        <f t="shared" si="60"/>
        <v>0.6470588235294118</v>
      </c>
      <c r="W114" s="1149">
        <f t="shared" si="60"/>
        <v>0.77757352941176472</v>
      </c>
      <c r="X114" s="1149">
        <f t="shared" si="60"/>
        <v>0.65631469979296064</v>
      </c>
      <c r="Y114" s="1151">
        <f>Y92/Y90</f>
        <v>0.77008310249307477</v>
      </c>
      <c r="Z114" s="1154">
        <f t="shared" si="60"/>
        <v>0.68951965065502185</v>
      </c>
      <c r="AA114" s="1137"/>
      <c r="AB114" s="1152">
        <f t="shared" si="60"/>
        <v>0.66815524520948355</v>
      </c>
    </row>
    <row r="115" spans="1:31" ht="15" thickBot="1" x14ac:dyDescent="0.4">
      <c r="B115" s="23"/>
      <c r="R115" s="1155"/>
      <c r="AA115" s="1155"/>
    </row>
    <row r="116" spans="1:31" thickBot="1" x14ac:dyDescent="0.4">
      <c r="A116" s="1128" t="s">
        <v>112</v>
      </c>
      <c r="B116" s="1129" t="s">
        <v>86</v>
      </c>
      <c r="C116" s="1130"/>
      <c r="D116" s="1156">
        <f>(D83/$AN$76*$AN$75)/D81</f>
        <v>0.96035079051383399</v>
      </c>
      <c r="E116" s="1133">
        <f t="shared" ref="E116:I116" si="61">(E83/$AN$76*$AN$75)/E81</f>
        <v>1.1755952380952381</v>
      </c>
      <c r="F116" s="1133">
        <f t="shared" si="61"/>
        <v>1.0121457489878543</v>
      </c>
      <c r="G116" s="1133">
        <f t="shared" si="61"/>
        <v>1.056338028169014</v>
      </c>
      <c r="H116" s="1134">
        <f t="shared" si="61"/>
        <v>1.0294732441471572</v>
      </c>
      <c r="I116" s="1136">
        <f t="shared" si="61"/>
        <v>1.0467980295566504</v>
      </c>
      <c r="K116" s="1131">
        <f t="shared" ref="K116:Q116" si="62">(K83/$AN$76*$AN$75)/K81</f>
        <v>0.99746309963099633</v>
      </c>
      <c r="L116" s="1133">
        <f t="shared" si="62"/>
        <v>0.8943965517241379</v>
      </c>
      <c r="M116" s="1133">
        <f t="shared" si="62"/>
        <v>0.81313775510204078</v>
      </c>
      <c r="N116" s="1133">
        <f t="shared" si="62"/>
        <v>0.8733624454148472</v>
      </c>
      <c r="O116" s="1133">
        <f t="shared" si="62"/>
        <v>1.025390625</v>
      </c>
      <c r="P116" s="1134">
        <f t="shared" si="62"/>
        <v>1.069078947368421</v>
      </c>
      <c r="Q116" s="1136">
        <f t="shared" si="62"/>
        <v>0.92905405405405406</v>
      </c>
      <c r="R116" s="1155"/>
      <c r="S116" s="1131">
        <f t="shared" ref="S116:Z116" si="63">(S83/$AN$76*$AN$75)/S81</f>
        <v>0.91619318181818177</v>
      </c>
      <c r="T116" s="1133">
        <f t="shared" si="63"/>
        <v>1.0962041884816753</v>
      </c>
      <c r="U116" s="1133">
        <f t="shared" si="63"/>
        <v>1.1091321243523315</v>
      </c>
      <c r="V116" s="1133">
        <f t="shared" si="63"/>
        <v>1.001908396946565</v>
      </c>
      <c r="W116" s="1133">
        <f t="shared" si="63"/>
        <v>0.97959844559585496</v>
      </c>
      <c r="X116" s="1133">
        <f t="shared" si="63"/>
        <v>0.88110902255639101</v>
      </c>
      <c r="Y116" s="1134">
        <f t="shared" si="63"/>
        <v>0.9598214285714286</v>
      </c>
      <c r="Z116" s="1138">
        <f t="shared" si="63"/>
        <v>1.0089177750906893</v>
      </c>
      <c r="AA116" s="1155"/>
      <c r="AB116" s="1139">
        <f>(AB83/$AN$76*$AN$75)/AB81</f>
        <v>1.0001023122570083</v>
      </c>
    </row>
    <row r="117" spans="1:31" ht="13" x14ac:dyDescent="0.35">
      <c r="A117" s="1140" t="s">
        <v>114</v>
      </c>
      <c r="D117" s="1141">
        <f>(D86/$AN$76*$AN$75)/D84</f>
        <v>1.3563147234746729</v>
      </c>
      <c r="E117" s="1141">
        <f t="shared" ref="E117:I117" si="64">(E86/$AN$76*$AN$75)/E84</f>
        <v>1.0952517990396078</v>
      </c>
      <c r="F117" s="1142">
        <f t="shared" si="64"/>
        <v>0.7545187213429253</v>
      </c>
      <c r="G117" s="1142">
        <f t="shared" si="64"/>
        <v>1.2132943481452723</v>
      </c>
      <c r="H117" s="902">
        <f t="shared" si="64"/>
        <v>1.3747577275080711</v>
      </c>
      <c r="I117" s="1144">
        <f t="shared" si="64"/>
        <v>1.1652416147229558</v>
      </c>
      <c r="K117" s="1141">
        <f t="shared" ref="K117:Q117" si="65">(K86/$AN$76*$AN$75)/K84</f>
        <v>1.4112264337510336</v>
      </c>
      <c r="L117" s="1142">
        <f t="shared" si="65"/>
        <v>1.2262405948650521</v>
      </c>
      <c r="M117" s="1142">
        <f t="shared" si="65"/>
        <v>1.1980693175935559</v>
      </c>
      <c r="N117" s="1142">
        <f t="shared" si="65"/>
        <v>0.91948782163921439</v>
      </c>
      <c r="O117" s="1142">
        <f t="shared" si="65"/>
        <v>0.87265639492766323</v>
      </c>
      <c r="P117" s="902">
        <f t="shared" si="65"/>
        <v>0.93914548462780822</v>
      </c>
      <c r="Q117" s="1144">
        <f t="shared" si="65"/>
        <v>1.0991753527374175</v>
      </c>
      <c r="R117" s="1155"/>
      <c r="S117" s="1141">
        <f t="shared" ref="S117:Z117" si="66">(S86/$AN$76*$AN$75)/S84</f>
        <v>1.0053625227369398</v>
      </c>
      <c r="T117" s="1142">
        <f t="shared" si="66"/>
        <v>1.2541507659718707</v>
      </c>
      <c r="U117" s="1142">
        <f t="shared" si="66"/>
        <v>1.0935179698423541</v>
      </c>
      <c r="V117" s="1142">
        <f t="shared" si="66"/>
        <v>0.95266558581560279</v>
      </c>
      <c r="W117" s="1142">
        <f t="shared" si="66"/>
        <v>1.1707995209890119</v>
      </c>
      <c r="X117" s="1142">
        <f t="shared" si="66"/>
        <v>1.0604289514542868</v>
      </c>
      <c r="Y117" s="902">
        <f t="shared" si="66"/>
        <v>1.2652877695113647</v>
      </c>
      <c r="Z117" s="1157">
        <f t="shared" si="66"/>
        <v>1.1022770916387521</v>
      </c>
      <c r="AA117" s="1155"/>
      <c r="AB117" s="1143">
        <f>(AB86/$AN$76*$AN$75)/AB84</f>
        <v>1.1256952959590407</v>
      </c>
      <c r="AC117" s="370"/>
    </row>
    <row r="118" spans="1:31" ht="13" x14ac:dyDescent="0.35">
      <c r="A118" s="1140" t="s">
        <v>115</v>
      </c>
      <c r="D118" s="1141">
        <f>(D89/$AN$76*$AN$75)/D87</f>
        <v>1.1994344126399552</v>
      </c>
      <c r="E118" s="1142">
        <f t="shared" ref="E118:I118" si="67">(E89/$AN$76*$AN$75)/E87</f>
        <v>1.213947045246091</v>
      </c>
      <c r="F118" s="1142">
        <f t="shared" si="67"/>
        <v>1.1756675299956911</v>
      </c>
      <c r="G118" s="1142">
        <f t="shared" si="67"/>
        <v>1.0701839366697785</v>
      </c>
      <c r="H118" s="902">
        <f t="shared" si="67"/>
        <v>1.3314674865922655</v>
      </c>
      <c r="I118" s="1144">
        <f t="shared" si="67"/>
        <v>1.1923246582725888</v>
      </c>
      <c r="K118" s="1141">
        <f t="shared" ref="K118:Q118" si="68">(K89/$AN$76*$AN$75)/K87</f>
        <v>1.1003187229543594</v>
      </c>
      <c r="L118" s="1142">
        <f t="shared" si="68"/>
        <v>1.5158534572091091</v>
      </c>
      <c r="M118" s="1142">
        <f t="shared" si="68"/>
        <v>0.90863773648285906</v>
      </c>
      <c r="N118" s="1142">
        <f t="shared" si="68"/>
        <v>0.93021179254001785</v>
      </c>
      <c r="O118" s="1142">
        <f t="shared" si="68"/>
        <v>0.92797760719290956</v>
      </c>
      <c r="P118" s="902">
        <f t="shared" si="68"/>
        <v>0.93393763973579447</v>
      </c>
      <c r="Q118" s="1144">
        <f t="shared" si="68"/>
        <v>1.0059910721895156</v>
      </c>
      <c r="R118" s="1155"/>
      <c r="S118" s="1141">
        <f t="shared" ref="S118:Z118" si="69">(S89/$AN$76*$AN$75)/S87</f>
        <v>0.93333278411203557</v>
      </c>
      <c r="T118" s="1142">
        <f t="shared" si="69"/>
        <v>0.95960361199061139</v>
      </c>
      <c r="U118" s="1142">
        <f t="shared" si="69"/>
        <v>1.1827297665837515</v>
      </c>
      <c r="V118" s="1142">
        <f t="shared" si="69"/>
        <v>0.7542636558697613</v>
      </c>
      <c r="W118" s="1142">
        <f t="shared" si="69"/>
        <v>1.0182800308904281</v>
      </c>
      <c r="X118" s="1142">
        <f t="shared" si="69"/>
        <v>1.0461701884665504</v>
      </c>
      <c r="Y118" s="902">
        <f t="shared" si="69"/>
        <v>1.264816802497106</v>
      </c>
      <c r="Z118" s="1157">
        <f t="shared" si="69"/>
        <v>0.97761922746498753</v>
      </c>
      <c r="AA118" s="1155"/>
      <c r="AB118" s="1143">
        <f>(AB89/$AN$76*$AN$75)/AB87</f>
        <v>1.0676286482748341</v>
      </c>
      <c r="AC118" s="370"/>
    </row>
    <row r="119" spans="1:31" ht="13.5" thickBot="1" x14ac:dyDescent="0.4">
      <c r="A119" s="1147" t="s">
        <v>116</v>
      </c>
      <c r="D119" s="1148">
        <f t="shared" ref="D119:I119" si="70">(D92/$AN$76*$AN$75)/D90</f>
        <v>1.0231810115350488</v>
      </c>
      <c r="E119" s="1149">
        <f t="shared" si="70"/>
        <v>1.0795454545454546</v>
      </c>
      <c r="F119" s="1150" t="e">
        <f t="shared" si="70"/>
        <v>#DIV/0!</v>
      </c>
      <c r="G119" s="1149">
        <f t="shared" si="70"/>
        <v>1.0739942528735633</v>
      </c>
      <c r="H119" s="1151">
        <f t="shared" si="70"/>
        <v>1.0329992435703479</v>
      </c>
      <c r="I119" s="1152">
        <f t="shared" si="70"/>
        <v>1.056827297730919</v>
      </c>
      <c r="K119" s="1148">
        <f t="shared" ref="K119:Q119" si="71">(K92/$AN$76*$AN$75)/K90</f>
        <v>1.0212988826815643</v>
      </c>
      <c r="L119" s="1150" t="e">
        <f t="shared" si="71"/>
        <v>#DIV/0!</v>
      </c>
      <c r="M119" s="1149">
        <f t="shared" si="71"/>
        <v>0.98655523255813948</v>
      </c>
      <c r="N119" s="1149">
        <f t="shared" si="71"/>
        <v>0.98184121621621623</v>
      </c>
      <c r="O119" s="1150" t="e">
        <f t="shared" si="71"/>
        <v>#DIV/0!</v>
      </c>
      <c r="P119" s="1151">
        <f t="shared" si="71"/>
        <v>0.92893835616438358</v>
      </c>
      <c r="Q119" s="1152">
        <f t="shared" si="71"/>
        <v>0.98206344500444709</v>
      </c>
      <c r="R119" s="1155"/>
      <c r="S119" s="1148">
        <f t="shared" ref="S119:Z119" si="72">(S92/$AN$76*$AN$75)/S90</f>
        <v>1.0183457711442787</v>
      </c>
      <c r="T119" s="1149">
        <f t="shared" si="72"/>
        <v>1.0891640461215932</v>
      </c>
      <c r="U119" s="1149">
        <f t="shared" si="72"/>
        <v>1.0622445504087195</v>
      </c>
      <c r="V119" s="1149">
        <f t="shared" si="72"/>
        <v>1.0110294117647058</v>
      </c>
      <c r="W119" s="1149">
        <f t="shared" si="72"/>
        <v>1.2149586397058822</v>
      </c>
      <c r="X119" s="1149">
        <f t="shared" si="72"/>
        <v>1.0254917184265011</v>
      </c>
      <c r="Y119" s="1151">
        <f t="shared" si="72"/>
        <v>1.2032548476454294</v>
      </c>
      <c r="Z119" s="1154">
        <f t="shared" si="72"/>
        <v>1.0773744541484715</v>
      </c>
      <c r="AA119" s="1155"/>
      <c r="AB119" s="1152">
        <f>(AB92/$AN$76*$AN$75)/AB90</f>
        <v>1.0439925706398181</v>
      </c>
    </row>
    <row r="120" spans="1:31" x14ac:dyDescent="0.35">
      <c r="R120" s="1155"/>
      <c r="AA120" s="1155"/>
      <c r="AE120" s="905"/>
    </row>
    <row r="121" spans="1:31" ht="12.5" x14ac:dyDescent="0.35">
      <c r="D121" s="1155"/>
      <c r="E121" s="1155"/>
      <c r="F121" s="1155"/>
      <c r="G121" s="1155"/>
      <c r="H121" s="1155"/>
      <c r="I121" s="1155"/>
      <c r="J121" s="1155"/>
      <c r="K121" s="1155"/>
      <c r="L121" s="1155"/>
      <c r="M121" s="1155"/>
      <c r="N121" s="1155"/>
      <c r="O121" s="1155"/>
      <c r="P121" s="1155"/>
      <c r="Q121" s="1155"/>
      <c r="R121" s="1155"/>
      <c r="S121" s="1155"/>
      <c r="T121" s="1155"/>
      <c r="U121" s="1155"/>
      <c r="V121" s="1155"/>
      <c r="W121" s="1155"/>
      <c r="X121" s="1155"/>
      <c r="Y121" s="1155"/>
      <c r="Z121" s="1155"/>
      <c r="AA121" s="1155"/>
      <c r="AB121" s="1155"/>
    </row>
    <row r="122" spans="1:31" ht="12.75" hidden="1" customHeight="1" x14ac:dyDescent="0.35">
      <c r="G122" s="212"/>
      <c r="H122" s="212"/>
      <c r="I122" s="212"/>
      <c r="J122" s="212"/>
      <c r="K122" s="212"/>
      <c r="L122" s="212"/>
      <c r="M122" s="212"/>
      <c r="N122" s="212"/>
      <c r="O122" s="212"/>
      <c r="P122" s="212"/>
      <c r="Q122" s="212"/>
      <c r="AA122" s="1155"/>
    </row>
    <row r="123" spans="1:31" ht="12.75" hidden="1" customHeight="1" x14ac:dyDescent="0.35"/>
    <row r="124" spans="1:31" ht="12.75" hidden="1" customHeight="1" x14ac:dyDescent="0.35">
      <c r="I124" s="212"/>
      <c r="Q124" s="212"/>
      <c r="Z124" s="212"/>
      <c r="AB124" s="212"/>
    </row>
    <row r="125" spans="1:31" ht="12.75" hidden="1" customHeight="1" x14ac:dyDescent="0.35">
      <c r="I125" s="212"/>
      <c r="J125" s="1038"/>
      <c r="K125" s="444"/>
      <c r="L125" s="212"/>
      <c r="M125" s="212"/>
      <c r="N125" s="212"/>
      <c r="O125" s="212"/>
      <c r="P125" s="212"/>
      <c r="Q125" s="212"/>
      <c r="R125" s="1038"/>
      <c r="S125" s="212"/>
      <c r="T125" s="212"/>
      <c r="U125" s="212"/>
      <c r="V125" s="212"/>
      <c r="W125" s="212"/>
      <c r="X125" s="212"/>
      <c r="Y125" s="212"/>
      <c r="Z125" s="212"/>
      <c r="AA125" s="1038"/>
      <c r="AB125" s="212"/>
    </row>
    <row r="126" spans="1:31" ht="12.75" hidden="1" customHeight="1" x14ac:dyDescent="0.35">
      <c r="I126" s="212"/>
      <c r="J126" s="1038"/>
      <c r="K126" s="444"/>
      <c r="L126" s="212"/>
      <c r="M126" s="212"/>
      <c r="N126" s="212"/>
      <c r="O126" s="212"/>
      <c r="P126" s="212"/>
      <c r="Q126" s="212"/>
      <c r="R126" s="1038"/>
      <c r="S126" s="212"/>
      <c r="T126" s="212"/>
      <c r="U126" s="212"/>
      <c r="V126" s="212"/>
      <c r="W126" s="212"/>
      <c r="X126" s="212"/>
      <c r="Y126" s="212"/>
      <c r="Z126" s="212"/>
      <c r="AA126" s="1038"/>
      <c r="AB126" s="1158"/>
    </row>
    <row r="127" spans="1:31" ht="12.75" hidden="1" customHeight="1" x14ac:dyDescent="0.35"/>
    <row r="128" spans="1:31" ht="12.75" hidden="1" customHeight="1" x14ac:dyDescent="0.35"/>
    <row r="129" spans="4:27" ht="12.5" x14ac:dyDescent="0.35">
      <c r="D129" s="46"/>
      <c r="E129" s="46"/>
      <c r="F129" s="46"/>
      <c r="G129" s="212"/>
      <c r="H129" s="212"/>
      <c r="I129" s="212"/>
      <c r="J129" s="212"/>
      <c r="K129" s="212"/>
      <c r="L129" s="212"/>
      <c r="M129" s="212"/>
      <c r="N129" s="212"/>
      <c r="O129" s="212"/>
      <c r="P129" s="212"/>
      <c r="Q129" s="212"/>
      <c r="R129" s="212"/>
      <c r="S129" s="212"/>
      <c r="T129" s="212"/>
      <c r="U129" s="212"/>
      <c r="V129" s="212"/>
      <c r="W129" s="212"/>
      <c r="X129" s="212"/>
      <c r="Y129" s="212"/>
      <c r="AA129" s="46"/>
    </row>
    <row r="130" spans="4:27" x14ac:dyDescent="0.35">
      <c r="E130" s="905"/>
    </row>
    <row r="131" spans="4:27" ht="12.75" hidden="1" customHeight="1" x14ac:dyDescent="0.35">
      <c r="D131" s="46"/>
      <c r="E131" s="905"/>
      <c r="F131" s="46"/>
      <c r="AA131" s="46"/>
    </row>
    <row r="132" spans="4:27" ht="12.75" hidden="1" customHeight="1" x14ac:dyDescent="0.35">
      <c r="D132" s="46"/>
      <c r="E132" s="905"/>
      <c r="F132" s="46"/>
      <c r="L132" s="46" t="s">
        <v>7</v>
      </c>
      <c r="M132" s="46" t="s">
        <v>10</v>
      </c>
      <c r="AA132" s="46"/>
    </row>
    <row r="133" spans="4:27" ht="12.75" hidden="1" customHeight="1" x14ac:dyDescent="0.35">
      <c r="D133" s="46"/>
      <c r="E133" s="905"/>
      <c r="F133" s="46"/>
      <c r="L133" s="46">
        <v>2962542</v>
      </c>
      <c r="M133" s="46">
        <v>3839267</v>
      </c>
      <c r="AA133" s="46"/>
    </row>
    <row r="134" spans="4:27" ht="12.75" hidden="1" customHeight="1" x14ac:dyDescent="0.35">
      <c r="D134" s="46"/>
      <c r="E134" s="905"/>
      <c r="F134" s="46"/>
      <c r="L134" s="46">
        <v>5925084</v>
      </c>
      <c r="M134" s="46">
        <v>7678534</v>
      </c>
      <c r="AA134" s="46"/>
    </row>
    <row r="135" spans="4:27" ht="12.75" hidden="1" customHeight="1" x14ac:dyDescent="0.35">
      <c r="D135" s="46"/>
      <c r="E135" s="905"/>
      <c r="F135" s="46"/>
      <c r="L135" s="46">
        <f>L134-L133</f>
        <v>2962542</v>
      </c>
      <c r="M135" s="46">
        <f>M134-M133</f>
        <v>3839267</v>
      </c>
      <c r="N135" s="46">
        <f>SUM(L135:M135)</f>
        <v>6801809</v>
      </c>
      <c r="AA135" s="46"/>
    </row>
    <row r="136" spans="4:27" x14ac:dyDescent="0.35">
      <c r="E136" s="905"/>
    </row>
    <row r="137" spans="4:27" x14ac:dyDescent="0.35">
      <c r="E137" s="905"/>
    </row>
  </sheetData>
  <mergeCells count="104">
    <mergeCell ref="A108:B108"/>
    <mergeCell ref="A109:B109"/>
    <mergeCell ref="A101:C101"/>
    <mergeCell ref="A102:C102"/>
    <mergeCell ref="A103:C103"/>
    <mergeCell ref="A104:C104"/>
    <mergeCell ref="A106:B106"/>
    <mergeCell ref="A107:B107"/>
    <mergeCell ref="A95:C95"/>
    <mergeCell ref="A96:C96"/>
    <mergeCell ref="A97:C97"/>
    <mergeCell ref="A98:C98"/>
    <mergeCell ref="A99:C99"/>
    <mergeCell ref="A100:C100"/>
    <mergeCell ref="A89:C89"/>
    <mergeCell ref="A90:C90"/>
    <mergeCell ref="A91:C91"/>
    <mergeCell ref="A92:C92"/>
    <mergeCell ref="A93:C93"/>
    <mergeCell ref="A94:C94"/>
    <mergeCell ref="A83:C83"/>
    <mergeCell ref="A84:C84"/>
    <mergeCell ref="A85:C85"/>
    <mergeCell ref="A86:C86"/>
    <mergeCell ref="A87:C87"/>
    <mergeCell ref="A88:C88"/>
    <mergeCell ref="A77:C77"/>
    <mergeCell ref="A78:C78"/>
    <mergeCell ref="A79:C79"/>
    <mergeCell ref="A80:C80"/>
    <mergeCell ref="A81:C81"/>
    <mergeCell ref="A82:C82"/>
    <mergeCell ref="A71:C71"/>
    <mergeCell ref="A72:C72"/>
    <mergeCell ref="A73:C73"/>
    <mergeCell ref="A74:C74"/>
    <mergeCell ref="A75:C75"/>
    <mergeCell ref="A76:C76"/>
    <mergeCell ref="A65:C65"/>
    <mergeCell ref="A66:C66"/>
    <mergeCell ref="A67:C67"/>
    <mergeCell ref="A68:C68"/>
    <mergeCell ref="A69:C69"/>
    <mergeCell ref="A70:C70"/>
    <mergeCell ref="A59:C59"/>
    <mergeCell ref="A60:C60"/>
    <mergeCell ref="A61:C61"/>
    <mergeCell ref="A62:C62"/>
    <mergeCell ref="A63:C63"/>
    <mergeCell ref="A64:C64"/>
    <mergeCell ref="A53:C53"/>
    <mergeCell ref="A54:C54"/>
    <mergeCell ref="A55:C55"/>
    <mergeCell ref="A56:C56"/>
    <mergeCell ref="A57:C57"/>
    <mergeCell ref="A58:C58"/>
    <mergeCell ref="A47:C47"/>
    <mergeCell ref="A48:C48"/>
    <mergeCell ref="A49:C49"/>
    <mergeCell ref="A50:C50"/>
    <mergeCell ref="A51:C51"/>
    <mergeCell ref="A52:C52"/>
    <mergeCell ref="A41:C41"/>
    <mergeCell ref="A42:C42"/>
    <mergeCell ref="A43:C43"/>
    <mergeCell ref="A44:C44"/>
    <mergeCell ref="A45:C45"/>
    <mergeCell ref="A46:C46"/>
    <mergeCell ref="A35:C35"/>
    <mergeCell ref="A36:C36"/>
    <mergeCell ref="A37:C37"/>
    <mergeCell ref="A38:C38"/>
    <mergeCell ref="A39:C39"/>
    <mergeCell ref="A40:C40"/>
    <mergeCell ref="A29:C29"/>
    <mergeCell ref="A30:C30"/>
    <mergeCell ref="A31:C31"/>
    <mergeCell ref="A32:C32"/>
    <mergeCell ref="A33:C33"/>
    <mergeCell ref="A34:C34"/>
    <mergeCell ref="A23:C23"/>
    <mergeCell ref="A24:C24"/>
    <mergeCell ref="A25:C25"/>
    <mergeCell ref="A26:C26"/>
    <mergeCell ref="A27:C27"/>
    <mergeCell ref="A28:C28"/>
    <mergeCell ref="A16:C16"/>
    <mergeCell ref="A17:C17"/>
    <mergeCell ref="A18:C18"/>
    <mergeCell ref="A19:C19"/>
    <mergeCell ref="A20:C20"/>
    <mergeCell ref="A22:C22"/>
    <mergeCell ref="A9:C9"/>
    <mergeCell ref="A10:C10"/>
    <mergeCell ref="A11:C11"/>
    <mergeCell ref="A13:C13"/>
    <mergeCell ref="A14:C14"/>
    <mergeCell ref="A15:C15"/>
    <mergeCell ref="A2:C2"/>
    <mergeCell ref="A3:C3"/>
    <mergeCell ref="A4:C4"/>
    <mergeCell ref="A5:C5"/>
    <mergeCell ref="A6:C6"/>
    <mergeCell ref="A8:C8"/>
  </mergeCells>
  <conditionalFormatting sqref="S20:Z20 S18:Z18 H18:Q18 H20:Q20 D20:E20 D18:E18">
    <cfRule type="cellIs" dxfId="127" priority="132" stopIfTrue="1" operator="lessThan">
      <formula>0</formula>
    </cfRule>
    <cfRule type="colorScale" priority="133">
      <colorScale>
        <cfvo type="num" val="&quot;&lt;0&quot;"/>
        <cfvo type="num" val="&quot;&gt;0&quot;"/>
        <color rgb="FFFF0000"/>
        <color rgb="FF92D050"/>
      </colorScale>
    </cfRule>
  </conditionalFormatting>
  <conditionalFormatting sqref="S20:Z20 S18:Z18 H18:Q18 O19 H20:Q20 S19:Y19 D20:E20 D18:E18">
    <cfRule type="cellIs" dxfId="126" priority="130" stopIfTrue="1" operator="lessThan">
      <formula>0</formula>
    </cfRule>
    <cfRule type="colorScale" priority="131">
      <colorScale>
        <cfvo type="num" val="&quot;&lt;0&quot;"/>
        <cfvo type="num" val="&quot;&gt;0&quot;"/>
        <color rgb="FFFF0000"/>
        <color rgb="FF92D050"/>
      </colorScale>
    </cfRule>
  </conditionalFormatting>
  <conditionalFormatting sqref="AB18 AB20">
    <cfRule type="cellIs" dxfId="125" priority="128" stopIfTrue="1" operator="lessThan">
      <formula>0</formula>
    </cfRule>
    <cfRule type="colorScale" priority="129">
      <colorScale>
        <cfvo type="num" val="&quot;&lt;0&quot;"/>
        <cfvo type="num" val="&quot;&gt;0&quot;"/>
        <color rgb="FFFF0000"/>
        <color rgb="FF92D050"/>
      </colorScale>
    </cfRule>
  </conditionalFormatting>
  <conditionalFormatting sqref="AB18 AB20">
    <cfRule type="cellIs" dxfId="124" priority="126" stopIfTrue="1" operator="lessThan">
      <formula>0</formula>
    </cfRule>
    <cfRule type="colorScale" priority="127">
      <colorScale>
        <cfvo type="num" val="&quot;&lt;0&quot;"/>
        <cfvo type="num" val="&quot;&gt;0&quot;"/>
        <color rgb="FFFF0000"/>
        <color rgb="FF92D050"/>
      </colorScale>
    </cfRule>
  </conditionalFormatting>
  <conditionalFormatting sqref="AA2:AA29">
    <cfRule type="cellIs" dxfId="123" priority="124" stopIfTrue="1" operator="lessThan">
      <formula>0</formula>
    </cfRule>
    <cfRule type="colorScale" priority="125">
      <colorScale>
        <cfvo type="num" val="&quot;&lt;0&quot;"/>
        <cfvo type="num" val="&quot;&gt;0&quot;"/>
        <color rgb="FFFF0000"/>
        <color rgb="FF92D050"/>
      </colorScale>
    </cfRule>
  </conditionalFormatting>
  <conditionalFormatting sqref="AA2:AA29">
    <cfRule type="cellIs" dxfId="122" priority="122" stopIfTrue="1" operator="lessThan">
      <formula>0</formula>
    </cfRule>
    <cfRule type="colorScale" priority="123">
      <colorScale>
        <cfvo type="num" val="&quot;&lt;0&quot;"/>
        <cfvo type="num" val="&quot;&gt;0&quot;"/>
        <color rgb="FFFF0000"/>
        <color rgb="FF92D050"/>
      </colorScale>
    </cfRule>
  </conditionalFormatting>
  <conditionalFormatting sqref="AC63 AC60 AH60">
    <cfRule type="cellIs" dxfId="121" priority="134" operator="greaterThanOrEqual">
      <formula>$AN$77</formula>
    </cfRule>
  </conditionalFormatting>
  <conditionalFormatting sqref="AO79:AO85">
    <cfRule type="cellIs" dxfId="120" priority="120" operator="greaterThan">
      <formula>0</formula>
    </cfRule>
    <cfRule type="cellIs" dxfId="119" priority="121" operator="lessThan">
      <formula>0</formula>
    </cfRule>
  </conditionalFormatting>
  <conditionalFormatting sqref="G20 G18">
    <cfRule type="cellIs" dxfId="118" priority="118" stopIfTrue="1" operator="lessThan">
      <formula>0</formula>
    </cfRule>
    <cfRule type="colorScale" priority="119">
      <colorScale>
        <cfvo type="num" val="&quot;&lt;0&quot;"/>
        <cfvo type="num" val="&quot;&gt;0&quot;"/>
        <color rgb="FFFF0000"/>
        <color rgb="FF92D050"/>
      </colorScale>
    </cfRule>
  </conditionalFormatting>
  <conditionalFormatting sqref="G20 G18">
    <cfRule type="cellIs" dxfId="117" priority="116" stopIfTrue="1" operator="lessThan">
      <formula>0</formula>
    </cfRule>
    <cfRule type="colorScale" priority="117">
      <colorScale>
        <cfvo type="num" val="&quot;&lt;0&quot;"/>
        <cfvo type="num" val="&quot;&gt;0&quot;"/>
        <color rgb="FFFF0000"/>
        <color rgb="FF92D050"/>
      </colorScale>
    </cfRule>
  </conditionalFormatting>
  <conditionalFormatting sqref="H73">
    <cfRule type="cellIs" dxfId="116" priority="115" operator="greaterThanOrEqual">
      <formula>$H$72</formula>
    </cfRule>
  </conditionalFormatting>
  <conditionalFormatting sqref="K73">
    <cfRule type="cellIs" dxfId="115" priority="114" operator="greaterThanOrEqual">
      <formula>$K$72</formula>
    </cfRule>
  </conditionalFormatting>
  <conditionalFormatting sqref="L73">
    <cfRule type="cellIs" dxfId="114" priority="113" operator="greaterThanOrEqual">
      <formula>$D$72</formula>
    </cfRule>
  </conditionalFormatting>
  <conditionalFormatting sqref="S73">
    <cfRule type="cellIs" dxfId="113" priority="112" operator="greaterThanOrEqual">
      <formula>$S$72</formula>
    </cfRule>
  </conditionalFormatting>
  <conditionalFormatting sqref="T73">
    <cfRule type="cellIs" dxfId="112" priority="111" operator="greaterThanOrEqual">
      <formula>$T$72</formula>
    </cfRule>
  </conditionalFormatting>
  <conditionalFormatting sqref="U73">
    <cfRule type="cellIs" dxfId="111" priority="110" operator="greaterThanOrEqual">
      <formula>$U$72</formula>
    </cfRule>
  </conditionalFormatting>
  <conditionalFormatting sqref="V73">
    <cfRule type="cellIs" dxfId="110" priority="109" operator="greaterThanOrEqual">
      <formula>$V$72</formula>
    </cfRule>
  </conditionalFormatting>
  <conditionalFormatting sqref="W73">
    <cfRule type="cellIs" dxfId="109" priority="108" operator="greaterThanOrEqual">
      <formula>$W$72</formula>
    </cfRule>
  </conditionalFormatting>
  <conditionalFormatting sqref="X73">
    <cfRule type="cellIs" dxfId="108" priority="107" operator="greaterThanOrEqual">
      <formula>$X$72</formula>
    </cfRule>
  </conditionalFormatting>
  <conditionalFormatting sqref="Y73">
    <cfRule type="cellIs" dxfId="107" priority="106" operator="greaterThanOrEqual">
      <formula>$Y$72</formula>
    </cfRule>
  </conditionalFormatting>
  <conditionalFormatting sqref="AB76 K76:Q76 S76:Z76 D76:E76 G76:I76">
    <cfRule type="cellIs" dxfId="106" priority="105" operator="greaterThanOrEqual">
      <formula>1</formula>
    </cfRule>
  </conditionalFormatting>
  <conditionalFormatting sqref="I73">
    <cfRule type="cellIs" dxfId="105" priority="104" operator="greaterThanOrEqual">
      <formula>$I$72</formula>
    </cfRule>
  </conditionalFormatting>
  <conditionalFormatting sqref="I75">
    <cfRule type="cellIs" dxfId="104" priority="103" operator="greaterThanOrEqual">
      <formula>$I$74</formula>
    </cfRule>
  </conditionalFormatting>
  <conditionalFormatting sqref="Q73">
    <cfRule type="cellIs" dxfId="103" priority="102" operator="greaterThanOrEqual">
      <formula>$Q$72</formula>
    </cfRule>
  </conditionalFormatting>
  <conditionalFormatting sqref="Q75">
    <cfRule type="cellIs" dxfId="102" priority="101" operator="greaterThanOrEqual">
      <formula>$Q$74</formula>
    </cfRule>
  </conditionalFormatting>
  <conditionalFormatting sqref="Z73">
    <cfRule type="cellIs" dxfId="101" priority="100" operator="greaterThanOrEqual">
      <formula>$Z$72</formula>
    </cfRule>
  </conditionalFormatting>
  <conditionalFormatting sqref="Z75">
    <cfRule type="cellIs" dxfId="100" priority="99" operator="greaterThanOrEqual">
      <formula>$Z$74</formula>
    </cfRule>
  </conditionalFormatting>
  <conditionalFormatting sqref="AB73">
    <cfRule type="cellIs" dxfId="99" priority="98" operator="greaterThanOrEqual">
      <formula>$AB$72</formula>
    </cfRule>
  </conditionalFormatting>
  <conditionalFormatting sqref="AB75">
    <cfRule type="cellIs" dxfId="98" priority="97" operator="greaterThanOrEqual">
      <formula>$AB$74</formula>
    </cfRule>
  </conditionalFormatting>
  <conditionalFormatting sqref="D75">
    <cfRule type="cellIs" dxfId="97" priority="96" operator="greaterThanOrEqual">
      <formula>$D$74</formula>
    </cfRule>
  </conditionalFormatting>
  <conditionalFormatting sqref="X75">
    <cfRule type="cellIs" dxfId="96" priority="95" operator="greaterThanOrEqual">
      <formula>$X$74</formula>
    </cfRule>
  </conditionalFormatting>
  <conditionalFormatting sqref="P75">
    <cfRule type="cellIs" dxfId="95" priority="94" operator="greaterThanOrEqual">
      <formula>$P$74</formula>
    </cfRule>
  </conditionalFormatting>
  <conditionalFormatting sqref="H75">
    <cfRule type="cellIs" dxfId="94" priority="93" operator="greaterThanOrEqual">
      <formula>$H$74</formula>
    </cfRule>
  </conditionalFormatting>
  <conditionalFormatting sqref="AH63">
    <cfRule type="cellIs" dxfId="93" priority="92" operator="greaterThanOrEqual">
      <formula>$AN$77</formula>
    </cfRule>
  </conditionalFormatting>
  <conditionalFormatting sqref="S75">
    <cfRule type="cellIs" dxfId="92" priority="91" operator="greaterThanOrEqual">
      <formula>$S$74</formula>
    </cfRule>
  </conditionalFormatting>
  <conditionalFormatting sqref="K75">
    <cfRule type="cellIs" dxfId="91" priority="90" operator="greaterThanOrEqual">
      <formula>$K$74</formula>
    </cfRule>
  </conditionalFormatting>
  <conditionalFormatting sqref="Y75">
    <cfRule type="cellIs" dxfId="90" priority="89" operator="greaterThanOrEqual">
      <formula>$Y$74</formula>
    </cfRule>
  </conditionalFormatting>
  <conditionalFormatting sqref="W75">
    <cfRule type="cellIs" dxfId="89" priority="88" operator="greaterThanOrEqual">
      <formula>$W$74</formula>
    </cfRule>
  </conditionalFormatting>
  <conditionalFormatting sqref="P73">
    <cfRule type="cellIs" dxfId="88" priority="87" operator="greaterThanOrEqual">
      <formula>$P$72</formula>
    </cfRule>
  </conditionalFormatting>
  <conditionalFormatting sqref="E75">
    <cfRule type="cellIs" dxfId="87" priority="86" operator="greaterThanOrEqual">
      <formula>$E$74</formula>
    </cfRule>
  </conditionalFormatting>
  <conditionalFormatting sqref="D73:E73">
    <cfRule type="cellIs" dxfId="86" priority="85" operator="greaterThanOrEqual">
      <formula>$E$72</formula>
    </cfRule>
  </conditionalFormatting>
  <conditionalFormatting sqref="M75">
    <cfRule type="cellIs" dxfId="85" priority="84" operator="greaterThanOrEqual">
      <formula>$M$74</formula>
    </cfRule>
  </conditionalFormatting>
  <conditionalFormatting sqref="N73">
    <cfRule type="cellIs" dxfId="84" priority="83" operator="greaterThanOrEqual">
      <formula>$N$72</formula>
    </cfRule>
  </conditionalFormatting>
  <conditionalFormatting sqref="G73">
    <cfRule type="cellIs" dxfId="83" priority="82" operator="greaterThanOrEqual">
      <formula>$G$72</formula>
    </cfRule>
  </conditionalFormatting>
  <conditionalFormatting sqref="T75">
    <cfRule type="cellIs" dxfId="82" priority="81" operator="greaterThanOrEqual">
      <formula>$T$74</formula>
    </cfRule>
  </conditionalFormatting>
  <conditionalFormatting sqref="U75">
    <cfRule type="cellIs" dxfId="81" priority="80" operator="greaterThanOrEqual">
      <formula>$U$74</formula>
    </cfRule>
  </conditionalFormatting>
  <conditionalFormatting sqref="AB116:AB119 S116:Z119 K116:Q119 G116:I119 D116:E119">
    <cfRule type="cellIs" dxfId="80" priority="77" operator="lessThan">
      <formula>1</formula>
    </cfRule>
    <cfRule type="cellIs" dxfId="79" priority="78" operator="lessThan">
      <formula>$AN$77</formula>
    </cfRule>
    <cfRule type="cellIs" dxfId="78" priority="79" operator="greaterThanOrEqual">
      <formula>$AN$77</formula>
    </cfRule>
  </conditionalFormatting>
  <conditionalFormatting sqref="G75">
    <cfRule type="cellIs" dxfId="77" priority="76" operator="greaterThanOrEqual">
      <formula>$G$74</formula>
    </cfRule>
  </conditionalFormatting>
  <conditionalFormatting sqref="V75">
    <cfRule type="cellIs" dxfId="76" priority="75" operator="greaterThanOrEqual">
      <formula>$V$74</formula>
    </cfRule>
  </conditionalFormatting>
  <conditionalFormatting sqref="M73">
    <cfRule type="cellIs" dxfId="75" priority="74" operator="greaterThanOrEqual">
      <formula>$M$72</formula>
    </cfRule>
  </conditionalFormatting>
  <conditionalFormatting sqref="N75">
    <cfRule type="cellIs" dxfId="74" priority="73" operator="greaterThanOrEqual">
      <formula>$N$74</formula>
    </cfRule>
  </conditionalFormatting>
  <conditionalFormatting sqref="S24:Z24 AB24 K24:Q24 D24:E24 G24:I24">
    <cfRule type="cellIs" dxfId="73" priority="71" operator="lessThan">
      <formula>0.9</formula>
    </cfRule>
    <cfRule type="cellIs" dxfId="72" priority="72" operator="greaterThanOrEqual">
      <formula>1</formula>
    </cfRule>
  </conditionalFormatting>
  <conditionalFormatting sqref="E25 G25:AB25">
    <cfRule type="cellIs" dxfId="71" priority="70" operator="greaterThanOrEqual">
      <formula>1200</formula>
    </cfRule>
  </conditionalFormatting>
  <conditionalFormatting sqref="D106:E106 G106:I106">
    <cfRule type="cellIs" dxfId="70" priority="67" operator="lessThan">
      <formula>6500</formula>
    </cfRule>
    <cfRule type="cellIs" dxfId="69" priority="68" operator="between">
      <formula>6500</formula>
      <formula>6999</formula>
    </cfRule>
    <cfRule type="cellIs" dxfId="68" priority="69" operator="greaterThanOrEqual">
      <formula>7000</formula>
    </cfRule>
  </conditionalFormatting>
  <conditionalFormatting sqref="K106:Q106">
    <cfRule type="cellIs" dxfId="67" priority="64" operator="lessThan">
      <formula>6000</formula>
    </cfRule>
    <cfRule type="cellIs" dxfId="66" priority="65" operator="between">
      <formula>6000</formula>
      <formula>6499</formula>
    </cfRule>
    <cfRule type="cellIs" dxfId="65" priority="66" operator="greaterThanOrEqual">
      <formula>6500</formula>
    </cfRule>
  </conditionalFormatting>
  <conditionalFormatting sqref="S106:Z106">
    <cfRule type="cellIs" dxfId="64" priority="61" operator="lessThan">
      <formula>6000</formula>
    </cfRule>
    <cfRule type="cellIs" dxfId="63" priority="62" operator="between">
      <formula>6000</formula>
      <formula>6499</formula>
    </cfRule>
    <cfRule type="cellIs" dxfId="62" priority="63" operator="greaterThan">
      <formula>6500</formula>
    </cfRule>
  </conditionalFormatting>
  <conditionalFormatting sqref="D108:E108 G108:H108">
    <cfRule type="cellIs" dxfId="61" priority="58" operator="lessThan">
      <formula>14999</formula>
    </cfRule>
    <cfRule type="cellIs" dxfId="60" priority="59" operator="between">
      <formula>15499</formula>
      <formula>15000</formula>
    </cfRule>
    <cfRule type="cellIs" dxfId="59" priority="60" operator="greaterThanOrEqual">
      <formula>15500</formula>
    </cfRule>
  </conditionalFormatting>
  <conditionalFormatting sqref="I108">
    <cfRule type="cellIs" dxfId="58" priority="55" operator="lessThan">
      <formula>14999</formula>
    </cfRule>
    <cfRule type="cellIs" dxfId="57" priority="56" operator="between">
      <formula>15499</formula>
      <formula>15000</formula>
    </cfRule>
    <cfRule type="cellIs" dxfId="56" priority="57" operator="greaterThanOrEqual">
      <formula>15500</formula>
    </cfRule>
  </conditionalFormatting>
  <conditionalFormatting sqref="K108:Z108">
    <cfRule type="cellIs" dxfId="55" priority="52" operator="lessThan">
      <formula>14000</formula>
    </cfRule>
    <cfRule type="cellIs" dxfId="54" priority="53" operator="between">
      <formula>14499</formula>
      <formula>14000</formula>
    </cfRule>
    <cfRule type="cellIs" dxfId="53" priority="54" operator="greaterThanOrEqual">
      <formula>14500</formula>
    </cfRule>
  </conditionalFormatting>
  <conditionalFormatting sqref="D107:E107 G107:H107">
    <cfRule type="cellIs" dxfId="52" priority="49" operator="lessThan">
      <formula>3500</formula>
    </cfRule>
    <cfRule type="cellIs" dxfId="51" priority="50" operator="between">
      <formula>3999</formula>
      <formula>3500</formula>
    </cfRule>
    <cfRule type="cellIs" dxfId="50" priority="51" operator="greaterThanOrEqual">
      <formula>4000</formula>
    </cfRule>
  </conditionalFormatting>
  <conditionalFormatting sqref="K107:Z107">
    <cfRule type="cellIs" dxfId="49" priority="46" operator="lessThan">
      <formula>3000</formula>
    </cfRule>
    <cfRule type="cellIs" dxfId="48" priority="47" operator="between">
      <formula>3499</formula>
      <formula>3000</formula>
    </cfRule>
    <cfRule type="cellIs" dxfId="47" priority="48" operator="greaterThanOrEqual">
      <formula>3500</formula>
    </cfRule>
  </conditionalFormatting>
  <conditionalFormatting sqref="D109:E109 G109:I109">
    <cfRule type="cellIs" dxfId="46" priority="43" operator="lessThan">
      <formula>6250</formula>
    </cfRule>
    <cfRule type="cellIs" dxfId="45" priority="44" operator="between">
      <formula>6749</formula>
      <formula>6250</formula>
    </cfRule>
    <cfRule type="cellIs" dxfId="44" priority="45" operator="greaterThanOrEqual">
      <formula>6750</formula>
    </cfRule>
  </conditionalFormatting>
  <conditionalFormatting sqref="S109:Z109">
    <cfRule type="cellIs" dxfId="43" priority="40" operator="lessThan">
      <formula>6000</formula>
    </cfRule>
    <cfRule type="cellIs" dxfId="42" priority="41" operator="between">
      <formula>6000</formula>
      <formula>6499</formula>
    </cfRule>
    <cfRule type="cellIs" dxfId="41" priority="42" operator="greaterThan">
      <formula>6500</formula>
    </cfRule>
  </conditionalFormatting>
  <conditionalFormatting sqref="K109:Q109">
    <cfRule type="cellIs" dxfId="40" priority="37" operator="lessThan">
      <formula>6000</formula>
    </cfRule>
    <cfRule type="cellIs" dxfId="39" priority="38" operator="between">
      <formula>6000</formula>
      <formula>6499</formula>
    </cfRule>
    <cfRule type="cellIs" dxfId="38" priority="39" operator="greaterThanOrEqual">
      <formula>6500</formula>
    </cfRule>
  </conditionalFormatting>
  <conditionalFormatting sqref="I107">
    <cfRule type="cellIs" dxfId="37" priority="34" operator="lessThan">
      <formula>3500</formula>
    </cfRule>
    <cfRule type="cellIs" dxfId="36" priority="35" operator="between">
      <formula>3999</formula>
      <formula>3500</formula>
    </cfRule>
    <cfRule type="cellIs" dxfId="35" priority="36" operator="greaterThanOrEqual">
      <formula>4000</formula>
    </cfRule>
  </conditionalFormatting>
  <conditionalFormatting sqref="D25">
    <cfRule type="cellIs" dxfId="34" priority="33" operator="greaterThanOrEqual">
      <formula>1200</formula>
    </cfRule>
  </conditionalFormatting>
  <conditionalFormatting sqref="D111:E114 G111:AB114">
    <cfRule type="cellIs" dxfId="33" priority="135" operator="lessThan">
      <formula>$AN$77</formula>
    </cfRule>
    <cfRule type="cellIs" dxfId="32" priority="136" operator="greaterThanOrEqual">
      <formula>$AN$77</formula>
    </cfRule>
  </conditionalFormatting>
  <conditionalFormatting sqref="F18 F20">
    <cfRule type="cellIs" dxfId="31" priority="29" stopIfTrue="1" operator="lessThan">
      <formula>0</formula>
    </cfRule>
    <cfRule type="colorScale" priority="30">
      <colorScale>
        <cfvo type="num" val="&quot;&lt;0&quot;"/>
        <cfvo type="num" val="&quot;&gt;0&quot;"/>
        <color rgb="FFFF0000"/>
        <color rgb="FF92D050"/>
      </colorScale>
    </cfRule>
  </conditionalFormatting>
  <conditionalFormatting sqref="F20 F18">
    <cfRule type="cellIs" dxfId="30" priority="27" stopIfTrue="1" operator="lessThan">
      <formula>0</formula>
    </cfRule>
    <cfRule type="colorScale" priority="28">
      <colorScale>
        <cfvo type="num" val="&quot;&lt;0&quot;"/>
        <cfvo type="num" val="&quot;&gt;0&quot;"/>
        <color rgb="FFFF0000"/>
        <color rgb="FF92D050"/>
      </colorScale>
    </cfRule>
  </conditionalFormatting>
  <conditionalFormatting sqref="F76">
    <cfRule type="cellIs" dxfId="29" priority="26" operator="greaterThanOrEqual">
      <formula>1</formula>
    </cfRule>
  </conditionalFormatting>
  <conditionalFormatting sqref="F75">
    <cfRule type="cellIs" dxfId="28" priority="25" operator="greaterThanOrEqual">
      <formula>$E$74</formula>
    </cfRule>
  </conditionalFormatting>
  <conditionalFormatting sqref="F73">
    <cfRule type="cellIs" dxfId="27" priority="24" operator="greaterThanOrEqual">
      <formula>$E$72</formula>
    </cfRule>
  </conditionalFormatting>
  <conditionalFormatting sqref="F116:F118">
    <cfRule type="cellIs" dxfId="26" priority="21" operator="lessThan">
      <formula>1</formula>
    </cfRule>
    <cfRule type="cellIs" dxfId="25" priority="22" operator="lessThan">
      <formula>$AN$77</formula>
    </cfRule>
    <cfRule type="cellIs" dxfId="24" priority="23" operator="greaterThanOrEqual">
      <formula>$AN$77</formula>
    </cfRule>
  </conditionalFormatting>
  <conditionalFormatting sqref="F24">
    <cfRule type="cellIs" dxfId="23" priority="19" operator="lessThan">
      <formula>0.9</formula>
    </cfRule>
    <cfRule type="cellIs" dxfId="22" priority="20" operator="greaterThanOrEqual">
      <formula>1</formula>
    </cfRule>
  </conditionalFormatting>
  <conditionalFormatting sqref="F25">
    <cfRule type="cellIs" dxfId="21" priority="18" operator="greaterThanOrEqual">
      <formula>1200</formula>
    </cfRule>
  </conditionalFormatting>
  <conditionalFormatting sqref="F108">
    <cfRule type="cellIs" dxfId="20" priority="15" operator="lessThan">
      <formula>14999</formula>
    </cfRule>
    <cfRule type="cellIs" dxfId="19" priority="16" operator="between">
      <formula>15499</formula>
      <formula>15000</formula>
    </cfRule>
    <cfRule type="cellIs" dxfId="18" priority="17" operator="greaterThanOrEqual">
      <formula>15500</formula>
    </cfRule>
  </conditionalFormatting>
  <conditionalFormatting sqref="F109">
    <cfRule type="cellIs" dxfId="17" priority="12" operator="lessThan">
      <formula>6250</formula>
    </cfRule>
    <cfRule type="cellIs" dxfId="16" priority="13" operator="between">
      <formula>6749</formula>
      <formula>6250</formula>
    </cfRule>
    <cfRule type="cellIs" dxfId="15" priority="14" operator="greaterThanOrEqual">
      <formula>6750</formula>
    </cfRule>
  </conditionalFormatting>
  <conditionalFormatting sqref="F111:F113">
    <cfRule type="cellIs" dxfId="14" priority="31" operator="lessThan">
      <formula>$AN$77</formula>
    </cfRule>
    <cfRule type="cellIs" dxfId="13" priority="32" operator="greaterThanOrEqual">
      <formula>$AN$77</formula>
    </cfRule>
  </conditionalFormatting>
  <conditionalFormatting sqref="F106">
    <cfRule type="cellIs" dxfId="12" priority="9" operator="lessThan">
      <formula>6000</formula>
    </cfRule>
    <cfRule type="cellIs" dxfId="11" priority="10" operator="between">
      <formula>6000</formula>
      <formula>6499</formula>
    </cfRule>
    <cfRule type="cellIs" dxfId="10" priority="11" operator="greaterThanOrEqual">
      <formula>6500</formula>
    </cfRule>
  </conditionalFormatting>
  <conditionalFormatting sqref="F107">
    <cfRule type="cellIs" dxfId="9" priority="6" operator="lessThan">
      <formula>3000</formula>
    </cfRule>
    <cfRule type="cellIs" dxfId="8" priority="7" operator="between">
      <formula>3499</formula>
      <formula>3000</formula>
    </cfRule>
    <cfRule type="cellIs" dxfId="7" priority="8" operator="greaterThanOrEqual">
      <formula>3500</formula>
    </cfRule>
  </conditionalFormatting>
  <conditionalFormatting sqref="F114">
    <cfRule type="cellIs" dxfId="6" priority="4" operator="lessThan">
      <formula>$AN$77</formula>
    </cfRule>
    <cfRule type="cellIs" dxfId="5" priority="5" operator="greaterThanOrEqual">
      <formula>$AN$77</formula>
    </cfRule>
  </conditionalFormatting>
  <conditionalFormatting sqref="F119">
    <cfRule type="cellIs" dxfId="4" priority="1" operator="lessThan">
      <formula>1</formula>
    </cfRule>
    <cfRule type="cellIs" dxfId="3" priority="2" operator="lessThan">
      <formula>$AN$77</formula>
    </cfRule>
    <cfRule type="cellIs" dxfId="2" priority="3" operator="greaterThanOrEqual">
      <formula>$AN$77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W34"/>
  <sheetViews>
    <sheetView tabSelected="1" zoomScale="67" workbookViewId="0">
      <selection activeCell="A27" sqref="A27"/>
    </sheetView>
  </sheetViews>
  <sheetFormatPr defaultRowHeight="14.5" x14ac:dyDescent="0.35"/>
  <cols>
    <col min="1" max="1" width="21.1796875" bestFit="1" customWidth="1"/>
  </cols>
  <sheetData>
    <row r="3" spans="1:39" s="1159" customFormat="1" ht="15.5" x14ac:dyDescent="0.35">
      <c r="B3" s="1160" t="s">
        <v>117</v>
      </c>
      <c r="D3" s="1161"/>
      <c r="E3" s="1161"/>
      <c r="H3" s="1162"/>
      <c r="I3" s="1161"/>
      <c r="V3" s="1163"/>
      <c r="W3" s="1163"/>
      <c r="X3" s="1163"/>
      <c r="Y3" s="1163"/>
      <c r="Z3" s="1163"/>
      <c r="AA3" s="1163"/>
      <c r="AB3" s="1163"/>
      <c r="AC3" s="1163"/>
    </row>
    <row r="4" spans="1:39" s="1159" customFormat="1" ht="13" thickBot="1" x14ac:dyDescent="0.3">
      <c r="A4" s="1162"/>
      <c r="D4" s="1161"/>
      <c r="E4" s="1161"/>
      <c r="H4" s="1162"/>
      <c r="M4" s="1162"/>
      <c r="N4" s="1162"/>
      <c r="O4" s="1162"/>
      <c r="P4" s="1162"/>
      <c r="Q4" s="1162"/>
      <c r="R4" s="1162"/>
      <c r="S4" s="1162"/>
    </row>
    <row r="5" spans="1:39" s="1159" customFormat="1" ht="14" x14ac:dyDescent="0.3">
      <c r="A5" s="1164">
        <f>'[2]Oct 20'!A2:C2</f>
        <v>46315</v>
      </c>
      <c r="B5" s="1165" t="s">
        <v>118</v>
      </c>
      <c r="C5" s="1166"/>
      <c r="D5" s="1167" t="s">
        <v>119</v>
      </c>
      <c r="E5" s="1168"/>
      <c r="F5" s="1169" t="s">
        <v>120</v>
      </c>
      <c r="G5" s="1170"/>
      <c r="H5" s="1171" t="s">
        <v>121</v>
      </c>
      <c r="I5" s="1172"/>
      <c r="J5" s="1173" t="s">
        <v>122</v>
      </c>
      <c r="K5" s="1174"/>
      <c r="L5" s="1175" t="s">
        <v>123</v>
      </c>
      <c r="M5" s="1174"/>
      <c r="N5" s="1175" t="s">
        <v>124</v>
      </c>
      <c r="O5" s="1174"/>
      <c r="P5" s="1176" t="s">
        <v>125</v>
      </c>
      <c r="Q5" s="1177"/>
      <c r="R5" s="1176" t="s">
        <v>126</v>
      </c>
      <c r="S5" s="1177"/>
      <c r="T5" s="1178" t="s">
        <v>127</v>
      </c>
      <c r="U5" s="1172"/>
      <c r="V5" s="1179" t="s">
        <v>128</v>
      </c>
      <c r="W5" s="1180"/>
      <c r="X5" s="1178" t="s">
        <v>129</v>
      </c>
      <c r="Y5" s="1180"/>
      <c r="Z5" s="1181" t="s">
        <v>130</v>
      </c>
      <c r="AA5" s="1182"/>
      <c r="AB5" s="1181" t="s">
        <v>131</v>
      </c>
      <c r="AC5" s="1182"/>
      <c r="AD5" s="1181" t="s">
        <v>132</v>
      </c>
      <c r="AE5" s="1182"/>
      <c r="AF5" s="1181" t="s">
        <v>133</v>
      </c>
      <c r="AG5" s="1182"/>
      <c r="AH5" s="1181" t="s">
        <v>134</v>
      </c>
      <c r="AI5" s="1183"/>
      <c r="AJ5" s="1184" t="s">
        <v>21</v>
      </c>
      <c r="AK5" s="1183"/>
    </row>
    <row r="6" spans="1:39" s="1159" customFormat="1" ht="13" x14ac:dyDescent="0.3">
      <c r="A6" s="1185"/>
      <c r="B6" s="1186" t="s">
        <v>135</v>
      </c>
      <c r="C6" s="1187" t="s">
        <v>136</v>
      </c>
      <c r="D6" s="1188" t="s">
        <v>135</v>
      </c>
      <c r="E6" s="1189" t="s">
        <v>136</v>
      </c>
      <c r="F6" s="1188" t="s">
        <v>135</v>
      </c>
      <c r="G6" s="1190" t="s">
        <v>136</v>
      </c>
      <c r="H6" s="1191" t="s">
        <v>135</v>
      </c>
      <c r="I6" s="1192" t="s">
        <v>136</v>
      </c>
      <c r="J6" s="1193" t="s">
        <v>135</v>
      </c>
      <c r="K6" s="1194" t="s">
        <v>136</v>
      </c>
      <c r="L6" s="1193" t="s">
        <v>135</v>
      </c>
      <c r="M6" s="1195" t="s">
        <v>136</v>
      </c>
      <c r="N6" s="1196" t="s">
        <v>135</v>
      </c>
      <c r="O6" s="1194" t="s">
        <v>136</v>
      </c>
      <c r="P6" s="1193" t="s">
        <v>135</v>
      </c>
      <c r="Q6" s="1195" t="s">
        <v>136</v>
      </c>
      <c r="R6" s="1196" t="s">
        <v>135</v>
      </c>
      <c r="S6" s="1194" t="s">
        <v>136</v>
      </c>
      <c r="T6" s="1191" t="s">
        <v>135</v>
      </c>
      <c r="U6" s="1197" t="s">
        <v>136</v>
      </c>
      <c r="V6" s="1198" t="s">
        <v>135</v>
      </c>
      <c r="W6" s="1199" t="s">
        <v>136</v>
      </c>
      <c r="X6" s="1200" t="s">
        <v>135</v>
      </c>
      <c r="Y6" s="1199" t="s">
        <v>136</v>
      </c>
      <c r="Z6" s="1201" t="s">
        <v>135</v>
      </c>
      <c r="AA6" s="1199" t="s">
        <v>136</v>
      </c>
      <c r="AB6" s="1201" t="s">
        <v>135</v>
      </c>
      <c r="AC6" s="1199" t="s">
        <v>136</v>
      </c>
      <c r="AD6" s="1191" t="s">
        <v>135</v>
      </c>
      <c r="AE6" s="1202" t="s">
        <v>136</v>
      </c>
      <c r="AF6" s="1201" t="s">
        <v>135</v>
      </c>
      <c r="AG6" s="1199" t="s">
        <v>136</v>
      </c>
      <c r="AH6" s="1201" t="s">
        <v>135</v>
      </c>
      <c r="AI6" s="1197" t="s">
        <v>136</v>
      </c>
      <c r="AJ6" s="1203" t="s">
        <v>135</v>
      </c>
      <c r="AK6" s="1204" t="s">
        <v>136</v>
      </c>
    </row>
    <row r="7" spans="1:39" s="1240" customFormat="1" ht="13" x14ac:dyDescent="0.3">
      <c r="A7" s="1205" t="s">
        <v>137</v>
      </c>
      <c r="B7" s="1206">
        <f>'[2]Oct 20'!D3</f>
        <v>82</v>
      </c>
      <c r="C7" s="1207">
        <f>'[2]Oct 20'!D8</f>
        <v>22</v>
      </c>
      <c r="D7" s="1208">
        <f>'[2]Oct 20'!E3+'[2]Oct 20'!F3</f>
        <v>85</v>
      </c>
      <c r="E7" s="1209">
        <f>'[2]Oct 20'!E8+'[2]Oct 20'!F8</f>
        <v>28</v>
      </c>
      <c r="F7" s="1210">
        <f>'[2]Oct 20'!G3</f>
        <v>55</v>
      </c>
      <c r="G7" s="1211">
        <f>'[2]Oct 20'!G8</f>
        <v>17</v>
      </c>
      <c r="H7" s="1212">
        <f>'[2]Oct 20'!H3</f>
        <v>31</v>
      </c>
      <c r="I7" s="1213">
        <f>'[2]Oct 20'!H8</f>
        <v>17</v>
      </c>
      <c r="J7" s="1214">
        <f>'[2]Oct 20'!K3</f>
        <v>48</v>
      </c>
      <c r="K7" s="1215">
        <f>'[2]Oct 20'!K8</f>
        <v>6</v>
      </c>
      <c r="L7" s="1216">
        <f>'[2]Oct 20'!M3</f>
        <v>60</v>
      </c>
      <c r="M7" s="1217">
        <f>'[2]Oct 20'!M8</f>
        <v>12</v>
      </c>
      <c r="N7" s="1218">
        <f>'[2]Oct 20'!L3</f>
        <v>0</v>
      </c>
      <c r="O7" s="1219">
        <f>'[2]Oct 20'!L8</f>
        <v>10</v>
      </c>
      <c r="P7" s="1220">
        <f>'[2]Oct 20'!N3</f>
        <v>41</v>
      </c>
      <c r="Q7" s="1221">
        <f>'[2]Oct 20'!N8</f>
        <v>6</v>
      </c>
      <c r="R7" s="1220">
        <f>'[2]Oct 20'!O3</f>
        <v>0</v>
      </c>
      <c r="S7" s="1221">
        <f>'[2]Oct 20'!O8</f>
        <v>6</v>
      </c>
      <c r="T7" s="1222">
        <f>'[2]Oct 20'!P3</f>
        <v>34</v>
      </c>
      <c r="U7" s="1223">
        <f>'[2]Oct 20'!P8</f>
        <v>12</v>
      </c>
      <c r="V7" s="1224">
        <f>'[2]Oct 20'!S3</f>
        <v>35</v>
      </c>
      <c r="W7" s="1225">
        <f>'[2]Oct 20'!S8</f>
        <v>6</v>
      </c>
      <c r="X7" s="1226">
        <f>'[2]Oct 20'!T3</f>
        <v>49</v>
      </c>
      <c r="Y7" s="1227">
        <f>'[2]Oct 20'!T8</f>
        <v>21</v>
      </c>
      <c r="Z7" s="1228">
        <f>'[2]Oct 20'!U3</f>
        <v>46</v>
      </c>
      <c r="AA7" s="1229">
        <f>'[2]Oct 20'!U8</f>
        <v>9</v>
      </c>
      <c r="AB7" s="1230">
        <f>'[2]Oct 20'!V3</f>
        <v>66</v>
      </c>
      <c r="AC7" s="1231">
        <f>'[2]Oct 20'!V8</f>
        <v>10</v>
      </c>
      <c r="AD7" s="1232">
        <f>'[2]Oct 20'!W3</f>
        <v>44</v>
      </c>
      <c r="AE7" s="1233">
        <f>'[2]Oct 20'!W8</f>
        <v>9</v>
      </c>
      <c r="AF7" s="1234">
        <f>'[2]Oct 20'!X3</f>
        <v>18</v>
      </c>
      <c r="AG7" s="1235">
        <f>'[2]Oct 20'!X8</f>
        <v>3</v>
      </c>
      <c r="AH7" s="1234">
        <f>'[2]Oct 20'!Y3</f>
        <v>22</v>
      </c>
      <c r="AI7" s="1236">
        <f>'[2]Oct 20'!Y8</f>
        <v>8</v>
      </c>
      <c r="AJ7" s="1237">
        <f t="shared" ref="AJ7:AK10" si="0">B7+D7+L7+J7+X7+AD7+R7+P7+N7+AB7+V7+F7+H7+T7+AH7+Z7+AF7</f>
        <v>716</v>
      </c>
      <c r="AK7" s="1238">
        <f t="shared" si="0"/>
        <v>202</v>
      </c>
      <c r="AL7" s="1239"/>
    </row>
    <row r="8" spans="1:39" s="1240" customFormat="1" ht="13" x14ac:dyDescent="0.3">
      <c r="A8" s="1205" t="s">
        <v>138</v>
      </c>
      <c r="B8" s="1206">
        <f>'[2]Oct 20'!D4</f>
        <v>1130</v>
      </c>
      <c r="C8" s="1207">
        <f>'[2]Oct 20'!D9</f>
        <v>311</v>
      </c>
      <c r="D8" s="1208">
        <f>'[2]Oct 20'!E4+'[2]Oct 20'!F4</f>
        <v>1787</v>
      </c>
      <c r="E8" s="1209">
        <f>'[2]Oct 20'!E9+'[2]Oct 20'!F9</f>
        <v>476</v>
      </c>
      <c r="F8" s="1210">
        <f>'[2]Oct 20'!G4</f>
        <v>826</v>
      </c>
      <c r="G8" s="1211">
        <f>'[2]Oct 20'!G9</f>
        <v>240</v>
      </c>
      <c r="H8" s="1212">
        <f>'[2]Oct 20'!H4</f>
        <v>597</v>
      </c>
      <c r="I8" s="1213">
        <f>'[2]Oct 20'!H9</f>
        <v>197</v>
      </c>
      <c r="J8" s="1214">
        <f>'[2]Oct 20'!K4</f>
        <v>918</v>
      </c>
      <c r="K8" s="1215">
        <f>'[2]Oct 20'!K9</f>
        <v>173</v>
      </c>
      <c r="L8" s="1216">
        <f>'[2]Oct 20'!M4</f>
        <v>848</v>
      </c>
      <c r="M8" s="1217">
        <f>'[2]Oct 20'!M9</f>
        <v>204</v>
      </c>
      <c r="N8" s="1218">
        <f>'[2]Oct 20'!L4</f>
        <v>0</v>
      </c>
      <c r="O8" s="1219">
        <f>'[2]Oct 20'!L9</f>
        <v>83</v>
      </c>
      <c r="P8" s="1220">
        <f>'[2]Oct 20'!N4</f>
        <v>738</v>
      </c>
      <c r="Q8" s="1221">
        <f>'[2]Oct 20'!N9</f>
        <v>128</v>
      </c>
      <c r="R8" s="1220">
        <f>'[2]Oct 20'!O4</f>
        <v>0</v>
      </c>
      <c r="S8" s="1221">
        <f>'[2]Oct 20'!O9</f>
        <v>105</v>
      </c>
      <c r="T8" s="1222">
        <f>'[2]Oct 20'!P4</f>
        <v>627</v>
      </c>
      <c r="U8" s="1223">
        <f>'[2]Oct 20'!P9</f>
        <v>143</v>
      </c>
      <c r="V8" s="1224">
        <f>'[2]Oct 20'!S4</f>
        <v>592</v>
      </c>
      <c r="W8" s="1225">
        <f>'[2]Oct 20'!S9</f>
        <v>129</v>
      </c>
      <c r="X8" s="1226">
        <f>'[2]Oct 20'!T4</f>
        <v>983</v>
      </c>
      <c r="Y8" s="1227">
        <f>'[2]Oct 20'!T9</f>
        <v>268</v>
      </c>
      <c r="Z8" s="1228">
        <f>'[2]Oct 20'!U4</f>
        <v>755</v>
      </c>
      <c r="AA8" s="1229">
        <f>'[2]Oct 20'!U9</f>
        <v>137</v>
      </c>
      <c r="AB8" s="1230">
        <f>'[2]Oct 20'!V4</f>
        <v>855</v>
      </c>
      <c r="AC8" s="1231">
        <f>'[2]Oct 20'!V9</f>
        <v>252</v>
      </c>
      <c r="AD8" s="1232">
        <f>'[2]Oct 20'!W4</f>
        <v>595</v>
      </c>
      <c r="AE8" s="1233">
        <f>'[2]Oct 20'!W9</f>
        <v>121</v>
      </c>
      <c r="AF8" s="1234">
        <f>'[2]Oct 20'!X4</f>
        <v>394</v>
      </c>
      <c r="AG8" s="1235">
        <f>'[2]Oct 20'!X9</f>
        <v>75</v>
      </c>
      <c r="AH8" s="1234">
        <f>'[2]Oct 20'!Y4</f>
        <v>400</v>
      </c>
      <c r="AI8" s="1236">
        <f>'[2]Oct 20'!Y9</f>
        <v>86</v>
      </c>
      <c r="AJ8" s="1237">
        <f t="shared" si="0"/>
        <v>12045</v>
      </c>
      <c r="AK8" s="1238">
        <f t="shared" si="0"/>
        <v>3128</v>
      </c>
    </row>
    <row r="9" spans="1:39" s="1240" customFormat="1" ht="13" x14ac:dyDescent="0.3">
      <c r="A9" s="1241" t="s">
        <v>139</v>
      </c>
      <c r="B9" s="1206">
        <f>'[2]Oct 20'!D5</f>
        <v>9878867.5399999991</v>
      </c>
      <c r="C9" s="1207">
        <f>'[2]Oct 20'!D10</f>
        <v>4716425.12</v>
      </c>
      <c r="D9" s="1208">
        <f>'[2]Oct 20'!E5+'[2]Oct 20'!F5</f>
        <v>14733137.569999998</v>
      </c>
      <c r="E9" s="1209">
        <f>'[2]Oct 20'!E10+'[2]Oct 20'!F10</f>
        <v>9100225.1600000001</v>
      </c>
      <c r="F9" s="1210">
        <f>'[2]Oct 20'!G5</f>
        <v>6134744.1600000001</v>
      </c>
      <c r="G9" s="1211">
        <f>'[2]Oct 20'!G10</f>
        <v>3854353.05</v>
      </c>
      <c r="H9" s="1212">
        <f>'[2]Oct 20'!H5</f>
        <v>5613918</v>
      </c>
      <c r="I9" s="1213">
        <f>'[2]Oct 20'!H10</f>
        <v>3069696</v>
      </c>
      <c r="J9" s="1214">
        <f>'[2]Oct 20'!K5</f>
        <v>6177252</v>
      </c>
      <c r="K9" s="1215">
        <f>'[2]Oct 20'!K10</f>
        <v>883327</v>
      </c>
      <c r="L9" s="1216">
        <f>'[2]Oct 20'!M5</f>
        <v>5914070</v>
      </c>
      <c r="M9" s="1217">
        <f>'[2]Oct 20'!M10</f>
        <v>1663709</v>
      </c>
      <c r="N9" s="1218">
        <f>'[2]Oct 20'!L5</f>
        <v>0</v>
      </c>
      <c r="O9" s="1219">
        <f>'[2]Oct 20'!L10</f>
        <v>3907224.02</v>
      </c>
      <c r="P9" s="1220">
        <f>'[2]Oct 20'!N5</f>
        <v>5417818.21</v>
      </c>
      <c r="Q9" s="1221">
        <f>'[2]Oct 20'!N10</f>
        <v>369056.43</v>
      </c>
      <c r="R9" s="1220">
        <f>'[2]Oct 20'!O5</f>
        <v>0</v>
      </c>
      <c r="S9" s="1221">
        <f>'[2]Oct 20'!O10</f>
        <v>3377229.78</v>
      </c>
      <c r="T9" s="1222">
        <f>'[2]Oct 20'!P5</f>
        <v>4519803</v>
      </c>
      <c r="U9" s="1223">
        <f>'[2]Oct 20'!P10</f>
        <v>1712560.31</v>
      </c>
      <c r="V9" s="1224">
        <f>'[2]Oct 20'!S5</f>
        <v>4011258.41</v>
      </c>
      <c r="W9" s="1225">
        <f>'[2]Oct 20'!S10</f>
        <v>1522859.59</v>
      </c>
      <c r="X9" s="1226">
        <f>'[2]Oct 20'!T5</f>
        <v>6361940.9000000004</v>
      </c>
      <c r="Y9" s="1227">
        <f>'[2]Oct 20'!T10</f>
        <v>3233341.87</v>
      </c>
      <c r="Z9" s="1228">
        <f>'[2]Oct 20'!U5</f>
        <v>5564800.7999999998</v>
      </c>
      <c r="AA9" s="1229">
        <f>'[2]Oct 20'!U10</f>
        <v>2870337.17</v>
      </c>
      <c r="AB9" s="1230">
        <f>'[2]Oct 20'!V5</f>
        <v>6069304</v>
      </c>
      <c r="AC9" s="1231">
        <f>'[2]Oct 20'!V10</f>
        <v>2315367</v>
      </c>
      <c r="AD9" s="1232">
        <f>'[2]Oct 20'!W5</f>
        <v>3600061</v>
      </c>
      <c r="AE9" s="1233">
        <f>'[2]Oct 20'!W10</f>
        <v>1284108</v>
      </c>
      <c r="AF9" s="1234">
        <f>'[2]Oct 20'!X5</f>
        <v>3170802</v>
      </c>
      <c r="AG9" s="1235">
        <f>'[2]Oct 20'!X10</f>
        <v>986631</v>
      </c>
      <c r="AH9" s="1234">
        <f>'[2]Oct 20'!Y5</f>
        <v>3603586</v>
      </c>
      <c r="AI9" s="1236">
        <f>'[2]Oct 20'!Y10</f>
        <v>792512</v>
      </c>
      <c r="AJ9" s="1242">
        <f t="shared" si="0"/>
        <v>90771363.589999989</v>
      </c>
      <c r="AK9" s="1238">
        <f t="shared" si="0"/>
        <v>45658962.500000007</v>
      </c>
    </row>
    <row r="10" spans="1:39" s="1240" customFormat="1" ht="13" x14ac:dyDescent="0.3">
      <c r="A10" s="1241" t="s">
        <v>140</v>
      </c>
      <c r="B10" s="1206">
        <f>'[2]Oct 20'!D6</f>
        <v>5026845.43</v>
      </c>
      <c r="C10" s="1243">
        <f>'[2]Oct 20'!D11</f>
        <v>2291339.64</v>
      </c>
      <c r="D10" s="1208">
        <f>'[2]Oct 20'!E6+'[2]Oct 20'!F6</f>
        <v>6991468.7299999995</v>
      </c>
      <c r="E10" s="1209">
        <f>'[2]Oct 20'!E11+'[2]Oct 20'!F11</f>
        <v>3582815.09</v>
      </c>
      <c r="F10" s="1210">
        <f>'[2]Oct 20'!G6</f>
        <v>3307133.8</v>
      </c>
      <c r="G10" s="1211">
        <f>'[2]Oct 20'!G11</f>
        <v>1836759.2</v>
      </c>
      <c r="H10" s="1212">
        <f>'[2]Oct 20'!H6</f>
        <v>2591301</v>
      </c>
      <c r="I10" s="1213">
        <f>'[2]Oct 20'!H11</f>
        <v>969070</v>
      </c>
      <c r="J10" s="1214">
        <f>'[2]Oct 20'!K6</f>
        <v>2980879</v>
      </c>
      <c r="K10" s="1215">
        <f>'[2]Oct 20'!K11</f>
        <v>634407</v>
      </c>
      <c r="L10" s="1216">
        <f>'[2]Oct 20'!M6</f>
        <v>2813434</v>
      </c>
      <c r="M10" s="1217">
        <f>'[2]Oct 20'!M11</f>
        <v>918478</v>
      </c>
      <c r="N10" s="1218">
        <f>'[2]Oct 20'!L6</f>
        <v>0</v>
      </c>
      <c r="O10" s="1219">
        <f>'[2]Oct 20'!L11</f>
        <v>1164513.6399999999</v>
      </c>
      <c r="P10" s="1220">
        <f>'[2]Oct 20'!N6</f>
        <v>2638909.1</v>
      </c>
      <c r="Q10" s="1221">
        <f>'[2]Oct 20'!N11</f>
        <v>250636.5</v>
      </c>
      <c r="R10" s="1220">
        <f>'[2]Oct 20'!O6</f>
        <v>0</v>
      </c>
      <c r="S10" s="1221">
        <f>'[2]Oct 20'!O11</f>
        <v>1299662</v>
      </c>
      <c r="T10" s="1222">
        <f>'[2]Oct 20'!P6</f>
        <v>1929260</v>
      </c>
      <c r="U10" s="1223">
        <f>'[2]Oct 20'!P11</f>
        <v>999882.67</v>
      </c>
      <c r="V10" s="1224">
        <f>'[2]Oct 20'!S6</f>
        <v>2207899.66</v>
      </c>
      <c r="W10" s="1225">
        <f>'[2]Oct 20'!S11</f>
        <v>697919.1</v>
      </c>
      <c r="X10" s="1226">
        <f>'[2]Oct 20'!T6</f>
        <v>3412287.12</v>
      </c>
      <c r="Y10" s="1227">
        <f>'[2]Oct 20'!T11</f>
        <v>1354254.32</v>
      </c>
      <c r="Z10" s="1228">
        <f>'[2]Oct 20'!U6</f>
        <v>2697544.04</v>
      </c>
      <c r="AA10" s="1229">
        <f>'[2]Oct 20'!U11</f>
        <v>896177.16</v>
      </c>
      <c r="AB10" s="1230">
        <f>'[2]Oct 20'!V6</f>
        <v>3188130</v>
      </c>
      <c r="AC10" s="1231">
        <f>'[2]Oct 20'!V11</f>
        <v>1411524</v>
      </c>
      <c r="AD10" s="1232">
        <f>'[2]Oct 20'!W6</f>
        <v>1823489</v>
      </c>
      <c r="AE10" s="1233">
        <f>'[2]Oct 20'!W11</f>
        <v>775293</v>
      </c>
      <c r="AF10" s="1234">
        <f>'[2]Oct 20'!X6</f>
        <v>1823595</v>
      </c>
      <c r="AG10" s="1235">
        <f>'[2]Oct 20'!X11</f>
        <v>581010</v>
      </c>
      <c r="AH10" s="1234">
        <f>'[2]Oct 20'!Y6</f>
        <v>1615823.1</v>
      </c>
      <c r="AI10" s="1236">
        <f>'[2]Oct 20'!Y11</f>
        <v>291810</v>
      </c>
      <c r="AJ10" s="1242">
        <f t="shared" si="0"/>
        <v>45047998.980000004</v>
      </c>
      <c r="AK10" s="1238">
        <f t="shared" si="0"/>
        <v>19955551.320000004</v>
      </c>
    </row>
    <row r="11" spans="1:39" s="1268" customFormat="1" x14ac:dyDescent="0.35">
      <c r="A11" s="1244" t="s">
        <v>141</v>
      </c>
      <c r="B11" s="1245">
        <f>'[2]Oct 20'!D23</f>
        <v>1459313</v>
      </c>
      <c r="C11" s="1246"/>
      <c r="D11" s="1247">
        <f>'[2]Oct 20'!E23+'[2]Oct 20'!F23</f>
        <v>1789191</v>
      </c>
      <c r="E11" s="1248"/>
      <c r="F11" s="1247">
        <f>'[2]Oct 20'!G23</f>
        <v>1065356</v>
      </c>
      <c r="G11" s="1248"/>
      <c r="H11" s="1249">
        <f>'[2]Oct 20'!H23</f>
        <v>867384</v>
      </c>
      <c r="I11" s="1250"/>
      <c r="J11" s="1251">
        <f>'[2]Oct 20'!K23</f>
        <v>802185</v>
      </c>
      <c r="K11" s="1252"/>
      <c r="L11" s="1253">
        <f>'[2]Oct 20'!M23</f>
        <v>700566</v>
      </c>
      <c r="M11" s="1252"/>
      <c r="N11" s="1253">
        <f>'[2]Oct 20'!L23</f>
        <v>29266</v>
      </c>
      <c r="O11" s="1252"/>
      <c r="P11" s="1254">
        <f>'[2]Oct 20'!N23</f>
        <v>736153</v>
      </c>
      <c r="Q11" s="1255"/>
      <c r="R11" s="1256">
        <f>'[2]Oct 20'!O23</f>
        <v>44437</v>
      </c>
      <c r="S11" s="1255"/>
      <c r="T11" s="1257">
        <f>'[2]Oct 20'!P23</f>
        <v>497986</v>
      </c>
      <c r="U11" s="1258"/>
      <c r="V11" s="1259">
        <f>'[2]Oct 20'!S23</f>
        <v>811274</v>
      </c>
      <c r="W11" s="1260"/>
      <c r="X11" s="1261">
        <f>'[2]Oct 20'!T23</f>
        <v>1069667</v>
      </c>
      <c r="Y11" s="1262"/>
      <c r="Z11" s="1261">
        <f>'[2]Oct 20'!U23</f>
        <v>793998</v>
      </c>
      <c r="AA11" s="1262"/>
      <c r="AB11" s="1263">
        <f>'[2]Oct 20'!V23</f>
        <v>926241</v>
      </c>
      <c r="AC11" s="1264"/>
      <c r="AD11" s="1263">
        <f>'[2]Oct 20'!W23</f>
        <v>506013</v>
      </c>
      <c r="AE11" s="1264"/>
      <c r="AF11" s="1263">
        <f>'[2]Oct 20'!X23</f>
        <v>703983</v>
      </c>
      <c r="AG11" s="1264"/>
      <c r="AH11" s="1263">
        <f>'[2]Oct 20'!Y23</f>
        <v>401822</v>
      </c>
      <c r="AI11" s="1265"/>
      <c r="AJ11" s="1266">
        <f>SUM(B11:AI11)</f>
        <v>13204835</v>
      </c>
      <c r="AK11" s="1267"/>
    </row>
    <row r="12" spans="1:39" s="1159" customFormat="1" ht="13" x14ac:dyDescent="0.3">
      <c r="A12" s="1269" t="s">
        <v>142</v>
      </c>
      <c r="B12" s="1245">
        <f>'[2]Oct 20'!D95</f>
        <v>458</v>
      </c>
      <c r="C12" s="1246"/>
      <c r="D12" s="1247">
        <f>'[2]Oct 20'!E95+'[2]Oct 20'!F95</f>
        <v>773</v>
      </c>
      <c r="E12" s="1248"/>
      <c r="F12" s="1270">
        <f>'[2]Oct 20'!G95</f>
        <v>337</v>
      </c>
      <c r="G12" s="1271"/>
      <c r="H12" s="1272">
        <f>'[2]Oct 20'!H95</f>
        <v>275</v>
      </c>
      <c r="I12" s="1273"/>
      <c r="J12" s="1251">
        <f>'[2]Oct 20'!K95</f>
        <v>337</v>
      </c>
      <c r="K12" s="1252"/>
      <c r="L12" s="1253">
        <f>'[2]Oct 20'!M95</f>
        <v>295</v>
      </c>
      <c r="M12" s="1252"/>
      <c r="N12" s="1253">
        <f>'[2]Oct 20'!L95</f>
        <v>8</v>
      </c>
      <c r="O12" s="1252"/>
      <c r="P12" s="1254">
        <f>'[2]Oct 20'!N95</f>
        <v>343</v>
      </c>
      <c r="Q12" s="1274"/>
      <c r="R12" s="1254">
        <f>'[2]Oct 20'!O95</f>
        <v>8</v>
      </c>
      <c r="S12" s="1274"/>
      <c r="T12" s="1253">
        <f>'[2]Oct 20'!P95</f>
        <v>247</v>
      </c>
      <c r="U12" s="1275"/>
      <c r="V12" s="1276">
        <f>'[2]Oct 20'!S95</f>
        <v>248</v>
      </c>
      <c r="W12" s="1252"/>
      <c r="X12" s="1261">
        <f>'[2]Oct 20'!T95</f>
        <v>310</v>
      </c>
      <c r="Y12" s="1262"/>
      <c r="Z12" s="1247">
        <f>'[2]Oct 20'!U95</f>
        <v>211</v>
      </c>
      <c r="AA12" s="1248"/>
      <c r="AB12" s="1263">
        <f>'[2]Oct 20'!V95</f>
        <v>258</v>
      </c>
      <c r="AC12" s="1264"/>
      <c r="AD12" s="1263">
        <f>'[2]Oct 20'!W95</f>
        <v>218</v>
      </c>
      <c r="AE12" s="1264"/>
      <c r="AF12" s="1263">
        <f>'[2]Oct 20'!X95</f>
        <v>217</v>
      </c>
      <c r="AG12" s="1264"/>
      <c r="AH12" s="1263">
        <f>'[2]Oct 20'!Y95</f>
        <v>276</v>
      </c>
      <c r="AI12" s="1265"/>
      <c r="AJ12" s="1277">
        <f>SUM(B12:AI12)</f>
        <v>4819</v>
      </c>
      <c r="AK12" s="1278"/>
    </row>
    <row r="13" spans="1:39" s="1159" customFormat="1" ht="13" x14ac:dyDescent="0.3">
      <c r="A13" s="1269" t="s">
        <v>143</v>
      </c>
      <c r="B13" s="1279">
        <f>B8*38%*3000</f>
        <v>1288200</v>
      </c>
      <c r="C13" s="1280"/>
      <c r="D13" s="1281">
        <f t="shared" ref="D13" si="1">D8*38%*3000</f>
        <v>2037180.0000000002</v>
      </c>
      <c r="E13" s="1282"/>
      <c r="F13" s="1281">
        <f t="shared" ref="F13" si="2">F8*38%*3000</f>
        <v>941640</v>
      </c>
      <c r="G13" s="1282"/>
      <c r="H13" s="1280">
        <f t="shared" ref="H13" si="3">H8*38%*3000</f>
        <v>680580</v>
      </c>
      <c r="I13" s="1283"/>
      <c r="J13" s="1280">
        <f t="shared" ref="J13" si="4">J8*38%*3000</f>
        <v>1046520.0000000001</v>
      </c>
      <c r="K13" s="1282"/>
      <c r="L13" s="1281">
        <f t="shared" ref="L13" si="5">L8*38%*3000</f>
        <v>966720</v>
      </c>
      <c r="M13" s="1282"/>
      <c r="N13" s="1281">
        <f t="shared" ref="N13" si="6">N8*38%*3000</f>
        <v>0</v>
      </c>
      <c r="O13" s="1282"/>
      <c r="P13" s="1281">
        <f t="shared" ref="P13" si="7">P8*38%*3000</f>
        <v>841320</v>
      </c>
      <c r="Q13" s="1282"/>
      <c r="R13" s="1281">
        <f t="shared" ref="R13" si="8">R8*38%*3000</f>
        <v>0</v>
      </c>
      <c r="S13" s="1282"/>
      <c r="T13" s="1281">
        <f t="shared" ref="T13" si="9">T8*38%*3000</f>
        <v>714780</v>
      </c>
      <c r="U13" s="1283"/>
      <c r="V13" s="1279">
        <f t="shared" ref="V13" si="10">V8*38%*3000</f>
        <v>674880</v>
      </c>
      <c r="W13" s="1282"/>
      <c r="X13" s="1281">
        <f t="shared" ref="X13" si="11">X8*38%*3000</f>
        <v>1120620</v>
      </c>
      <c r="Y13" s="1282"/>
      <c r="Z13" s="1281">
        <f t="shared" ref="Z13" si="12">Z8*38%*3000</f>
        <v>860699.99999999988</v>
      </c>
      <c r="AA13" s="1282"/>
      <c r="AB13" s="1281">
        <f t="shared" ref="AB13" si="13">AB8*38%*3000</f>
        <v>974699.99999999988</v>
      </c>
      <c r="AC13" s="1282"/>
      <c r="AD13" s="1281">
        <f t="shared" ref="AD13" si="14">AD8*38%*3000</f>
        <v>678300</v>
      </c>
      <c r="AE13" s="1282"/>
      <c r="AF13" s="1281">
        <f t="shared" ref="AF13" si="15">AF8*38%*3000</f>
        <v>449160</v>
      </c>
      <c r="AG13" s="1282"/>
      <c r="AH13" s="1281">
        <f t="shared" ref="AH13" si="16">AH8*38%*3000</f>
        <v>456000</v>
      </c>
      <c r="AI13" s="1283"/>
      <c r="AJ13" s="1277">
        <f t="shared" ref="AJ13" si="17">AJ8*38%*3000</f>
        <v>13731300.000000002</v>
      </c>
      <c r="AK13" s="1278"/>
      <c r="AL13" s="1284"/>
    </row>
    <row r="14" spans="1:39" s="1292" customFormat="1" ht="13.5" thickBot="1" x14ac:dyDescent="0.35">
      <c r="A14" s="1269" t="s">
        <v>37</v>
      </c>
      <c r="B14" s="1285">
        <f>B11/B13</f>
        <v>1.132831082130104</v>
      </c>
      <c r="C14" s="1286"/>
      <c r="D14" s="1287">
        <f>D11/D13</f>
        <v>0.87826848879333186</v>
      </c>
      <c r="E14" s="1288"/>
      <c r="F14" s="1287">
        <f>F11/F13</f>
        <v>1.1313835436047746</v>
      </c>
      <c r="G14" s="1288"/>
      <c r="H14" s="1286">
        <f>H11/H13</f>
        <v>1.2744776514149696</v>
      </c>
      <c r="I14" s="1289"/>
      <c r="J14" s="1286">
        <f>J11/J13</f>
        <v>0.76652620112372427</v>
      </c>
      <c r="K14" s="1288"/>
      <c r="L14" s="1287">
        <f>L11/L13</f>
        <v>0.72468346573982123</v>
      </c>
      <c r="M14" s="1288"/>
      <c r="N14" s="1287" t="e">
        <f>N11/N13</f>
        <v>#DIV/0!</v>
      </c>
      <c r="O14" s="1288"/>
      <c r="P14" s="1287">
        <f>P11/P13</f>
        <v>0.87499762278324533</v>
      </c>
      <c r="Q14" s="1288"/>
      <c r="R14" s="1287" t="e">
        <f>R11/R13</f>
        <v>#DIV/0!</v>
      </c>
      <c r="S14" s="1288"/>
      <c r="T14" s="1287">
        <f>T11/T13</f>
        <v>0.69669828478692741</v>
      </c>
      <c r="U14" s="1289"/>
      <c r="V14" s="1285">
        <f>V11/V13</f>
        <v>1.2021011142721669</v>
      </c>
      <c r="W14" s="1288"/>
      <c r="X14" s="1287">
        <f>X11/X13</f>
        <v>0.95453142010672665</v>
      </c>
      <c r="Y14" s="1288"/>
      <c r="Z14" s="1287">
        <f>Z11/Z13</f>
        <v>0.92250261415127233</v>
      </c>
      <c r="AA14" s="1288"/>
      <c r="AB14" s="1287">
        <f>AB11/AB13</f>
        <v>0.95028316405047719</v>
      </c>
      <c r="AC14" s="1288"/>
      <c r="AD14" s="1287">
        <f>AD11/AD13</f>
        <v>0.74600176912870408</v>
      </c>
      <c r="AE14" s="1288"/>
      <c r="AF14" s="1287">
        <f>AF11/AF13</f>
        <v>1.567332353726957</v>
      </c>
      <c r="AG14" s="1288"/>
      <c r="AH14" s="1287">
        <f>AH11/AH13</f>
        <v>0.88118859649122805</v>
      </c>
      <c r="AI14" s="1289"/>
      <c r="AJ14" s="1290">
        <f>AJ11/AJ13</f>
        <v>0.96165949327448952</v>
      </c>
      <c r="AK14" s="1291"/>
    </row>
    <row r="15" spans="1:39" s="1159" customFormat="1" x14ac:dyDescent="0.35">
      <c r="A15" s="1293" t="s">
        <v>30</v>
      </c>
      <c r="B15" s="1294">
        <f>'[2]Oct 20'!D13</f>
        <v>1255382</v>
      </c>
      <c r="C15" s="1295"/>
      <c r="D15" s="1294">
        <f>'[2]Oct 20'!E13+'[2]Oct 20'!F13</f>
        <v>716268.67</v>
      </c>
      <c r="E15" s="1295"/>
      <c r="F15" s="1296">
        <f>'[2]Oct 20'!G13</f>
        <v>202719</v>
      </c>
      <c r="G15" s="1297"/>
      <c r="H15" s="1295">
        <f>'[2]Oct 20'!H13</f>
        <v>276262</v>
      </c>
      <c r="I15" s="1295"/>
      <c r="J15" s="1298">
        <f>'[2]Oct 20'!K13</f>
        <v>606880</v>
      </c>
      <c r="K15" s="1299"/>
      <c r="L15" s="1298">
        <f>'[2]Oct 20'!M13</f>
        <v>1016676</v>
      </c>
      <c r="M15" s="1299"/>
      <c r="N15" s="1298">
        <f>'[2]Oct 20'!L13</f>
        <v>150616.06</v>
      </c>
      <c r="O15" s="1299"/>
      <c r="P15" s="1298">
        <f>'[2]Oct 20'!N13</f>
        <v>366421</v>
      </c>
      <c r="Q15" s="1299"/>
      <c r="R15" s="1298">
        <f>'[2]Oct 20'!O13</f>
        <v>35982</v>
      </c>
      <c r="S15" s="1299"/>
      <c r="T15" s="1298">
        <f>'[2]Oct 20'!P13</f>
        <v>94155</v>
      </c>
      <c r="U15" s="1299"/>
      <c r="V15" s="1298">
        <f>'[2]Oct 20'!S13</f>
        <v>352371</v>
      </c>
      <c r="W15" s="1299"/>
      <c r="X15" s="1298">
        <f>'[2]Oct 20'!T13</f>
        <v>481150</v>
      </c>
      <c r="Y15" s="1299"/>
      <c r="Z15" s="1298">
        <f>'[2]Oct 20'!U13</f>
        <v>331262</v>
      </c>
      <c r="AA15" s="1299"/>
      <c r="AB15" s="1298">
        <f>'[2]Oct 20'!V13</f>
        <v>395874</v>
      </c>
      <c r="AC15" s="1299"/>
      <c r="AD15" s="1298">
        <f>'[2]Oct 20'!W13</f>
        <v>80047</v>
      </c>
      <c r="AE15" s="1299"/>
      <c r="AF15" s="1298">
        <f>'[2]Oct 20'!X13</f>
        <v>63960</v>
      </c>
      <c r="AG15" s="1299"/>
      <c r="AH15" s="1298">
        <f>'[2]Oct 20'!Y13</f>
        <v>91290</v>
      </c>
      <c r="AI15" s="1299"/>
      <c r="AJ15" s="1300">
        <f>SUM(B15:AI15)</f>
        <v>6517315.7299999995</v>
      </c>
      <c r="AK15" s="1301"/>
      <c r="AM15" s="1302"/>
    </row>
    <row r="16" spans="1:39" s="1292" customFormat="1" ht="18.5" thickBot="1" x14ac:dyDescent="0.45">
      <c r="A16" s="1303" t="s">
        <v>144</v>
      </c>
      <c r="B16" s="1304">
        <f>B9+C9+B10+C10+B15</f>
        <v>23168859.73</v>
      </c>
      <c r="C16" s="1305"/>
      <c r="D16" s="1306">
        <f>D9+E9+D10+E10+D15</f>
        <v>35123915.219999999</v>
      </c>
      <c r="E16" s="1307"/>
      <c r="F16" s="1308">
        <f>F9+G9+F10+G10+F15</f>
        <v>15335709.210000001</v>
      </c>
      <c r="G16" s="1309"/>
      <c r="H16" s="1307">
        <f>H9+I9+H10+I10+H15</f>
        <v>12520247</v>
      </c>
      <c r="I16" s="1310"/>
      <c r="J16" s="1304">
        <f>J9+K9+J10+K10+J15</f>
        <v>11282745</v>
      </c>
      <c r="K16" s="1305"/>
      <c r="L16" s="1306">
        <f>L9+M9+L10+M10+L15</f>
        <v>12326367</v>
      </c>
      <c r="M16" s="1305"/>
      <c r="N16" s="1306">
        <f>N9+O9+N10+O10+N15</f>
        <v>5222353.72</v>
      </c>
      <c r="O16" s="1305"/>
      <c r="P16" s="1306">
        <f>P9+Q9+P10+Q10+P15</f>
        <v>9042841.2400000002</v>
      </c>
      <c r="Q16" s="1305"/>
      <c r="R16" s="1306">
        <f>R9+S9+R10+S10+R15</f>
        <v>4712873.7799999993</v>
      </c>
      <c r="S16" s="1305"/>
      <c r="T16" s="1306">
        <f>T9+U9+T10+U10+T15</f>
        <v>9255660.9800000004</v>
      </c>
      <c r="U16" s="1310"/>
      <c r="V16" s="1304">
        <f>V9+W9+V10+W10+V15</f>
        <v>8792307.7599999998</v>
      </c>
      <c r="W16" s="1305"/>
      <c r="X16" s="1306">
        <f>X9+Y9+X10+Y10+X15</f>
        <v>14842974.210000001</v>
      </c>
      <c r="Y16" s="1305"/>
      <c r="Z16" s="1306">
        <f>Z9+AA9+Z10+AA10+Z15</f>
        <v>12360121.169999998</v>
      </c>
      <c r="AA16" s="1305"/>
      <c r="AB16" s="1306">
        <f>AB9+AC9+AB10+AC10+AB15</f>
        <v>13380199</v>
      </c>
      <c r="AC16" s="1305"/>
      <c r="AD16" s="1306">
        <f>AD9+AE9+AD10+AE10+AD15</f>
        <v>7562998</v>
      </c>
      <c r="AE16" s="1305"/>
      <c r="AF16" s="1306">
        <f>AF9+AG9+AF10+AG10+AF15</f>
        <v>6625998</v>
      </c>
      <c r="AG16" s="1305"/>
      <c r="AH16" s="1306">
        <f>AH9+AI9+AH10+AI10+AH15</f>
        <v>6395021.0999999996</v>
      </c>
      <c r="AI16" s="1310"/>
      <c r="AJ16" s="1311">
        <f>AJ9+AK9+AJ10+AK10+AJ15</f>
        <v>207951192.11999997</v>
      </c>
      <c r="AK16" s="1312"/>
    </row>
    <row r="17" spans="1:49" s="1159" customFormat="1" x14ac:dyDescent="0.35">
      <c r="A17" s="1313"/>
      <c r="B17" s="1314"/>
      <c r="C17" s="1314"/>
      <c r="D17" s="1315"/>
      <c r="E17" s="1315"/>
      <c r="F17" s="1316"/>
      <c r="G17" s="1316"/>
      <c r="H17" s="1317"/>
      <c r="I17" s="1317"/>
      <c r="L17" s="1318"/>
      <c r="M17" s="1318"/>
      <c r="N17" s="1318"/>
      <c r="O17" s="1318"/>
      <c r="P17" s="1318"/>
      <c r="AB17" s="1318"/>
      <c r="AC17" s="1318"/>
      <c r="AD17" s="1318"/>
      <c r="AE17" s="1318"/>
      <c r="AF17" s="1318"/>
      <c r="AG17" s="1318"/>
      <c r="AH17" s="1318"/>
      <c r="AI17" s="1318"/>
      <c r="AJ17" s="1319"/>
      <c r="AK17" s="1319"/>
      <c r="AM17" s="1292"/>
    </row>
    <row r="18" spans="1:49" s="1159" customFormat="1" ht="15" thickBot="1" x14ac:dyDescent="0.4">
      <c r="A18" s="1313"/>
      <c r="B18" s="1314"/>
      <c r="C18" s="1314"/>
      <c r="D18" s="1320"/>
      <c r="E18" s="1320"/>
      <c r="F18" s="1316"/>
      <c r="G18" s="1316"/>
      <c r="H18" s="1317"/>
      <c r="I18" s="1317"/>
      <c r="L18" s="1318"/>
      <c r="M18" s="1318"/>
      <c r="N18" s="1318"/>
      <c r="O18" s="1318"/>
      <c r="P18" s="1318"/>
      <c r="AB18" s="1318"/>
      <c r="AC18" s="1318"/>
      <c r="AD18" s="1318"/>
      <c r="AE18" s="1318"/>
      <c r="AF18" s="1318"/>
      <c r="AG18" s="1318"/>
      <c r="AH18" s="1318"/>
      <c r="AI18" s="1318"/>
      <c r="AJ18" s="1319"/>
      <c r="AK18" s="1319"/>
      <c r="AM18" s="1292"/>
    </row>
    <row r="19" spans="1:49" s="1324" customFormat="1" x14ac:dyDescent="0.35">
      <c r="A19" s="1321">
        <f>'[2]Oct 20'!A17:C17</f>
        <v>46285</v>
      </c>
      <c r="B19" s="1298">
        <f>'[2]Oct 20'!D17</f>
        <v>24528571.98</v>
      </c>
      <c r="C19" s="1299"/>
      <c r="D19" s="1298">
        <f>'[2]Oct 20'!E17+'[2]Oct 20'!F17</f>
        <v>31725915.66</v>
      </c>
      <c r="E19" s="1299"/>
      <c r="F19" s="1298">
        <f>'[2]Oct 20'!G17</f>
        <v>16410767.340000002</v>
      </c>
      <c r="G19" s="1299"/>
      <c r="H19" s="1298">
        <f>'[2]Oct 20'!H17</f>
        <v>11174098</v>
      </c>
      <c r="I19" s="1299"/>
      <c r="J19" s="1298">
        <f>'[2]Oct 20'!K17</f>
        <v>13543132</v>
      </c>
      <c r="K19" s="1299"/>
      <c r="L19" s="1298">
        <f>'[2]Oct 20'!M17</f>
        <v>13787899</v>
      </c>
      <c r="M19" s="1299"/>
      <c r="N19" s="1298">
        <f>'[2]Oct 20'!L17</f>
        <v>3245482.9000000004</v>
      </c>
      <c r="O19" s="1299"/>
      <c r="P19" s="1298">
        <f>'[2]Oct 20'!N17</f>
        <v>10169713.300000001</v>
      </c>
      <c r="Q19" s="1299"/>
      <c r="R19" s="1298">
        <f>'[2]Oct 20'!O17</f>
        <v>4375858.09</v>
      </c>
      <c r="S19" s="1299"/>
      <c r="T19" s="1298">
        <f>'[2]Oct 20'!P17</f>
        <v>10289919.35</v>
      </c>
      <c r="U19" s="1299"/>
      <c r="V19" s="1298">
        <f>'[2]Oct 20'!S17</f>
        <v>8841137.8699999992</v>
      </c>
      <c r="W19" s="1299"/>
      <c r="X19" s="1298">
        <f>'[2]Oct 20'!T17</f>
        <v>14283604.719999999</v>
      </c>
      <c r="Y19" s="1299"/>
      <c r="Z19" s="1298">
        <f>'[2]Oct 20'!U17</f>
        <v>11846049.99</v>
      </c>
      <c r="AA19" s="1299"/>
      <c r="AB19" s="1298">
        <f>'[2]Oct 20'!V17</f>
        <v>15595814</v>
      </c>
      <c r="AC19" s="1299"/>
      <c r="AD19" s="1298">
        <f>'[2]Oct 20'!W17</f>
        <v>9386293</v>
      </c>
      <c r="AE19" s="1299"/>
      <c r="AF19" s="1298">
        <f>'[2]Oct 20'!X17</f>
        <v>6578114</v>
      </c>
      <c r="AG19" s="1299"/>
      <c r="AH19" s="1298">
        <f>'[2]Oct 20'!Y17</f>
        <v>7343374</v>
      </c>
      <c r="AI19" s="1299"/>
      <c r="AJ19" s="1322">
        <f>SUM(B19:AI19)</f>
        <v>213125745.20000002</v>
      </c>
      <c r="AK19" s="1323"/>
      <c r="AM19" s="1292"/>
    </row>
    <row r="20" spans="1:49" s="1330" customFormat="1" ht="26.5" thickBot="1" x14ac:dyDescent="0.4">
      <c r="A20" s="1325" t="s">
        <v>33</v>
      </c>
      <c r="B20" s="1326">
        <f>(B16/B19-1)</f>
        <v>-5.5433812091004619E-2</v>
      </c>
      <c r="C20" s="1327"/>
      <c r="D20" s="1328">
        <f>(D16/D19-1)</f>
        <v>0.10710485384931512</v>
      </c>
      <c r="E20" s="1327"/>
      <c r="F20" s="1328">
        <f>(F16/F19-1)</f>
        <v>-6.5509315178677086E-2</v>
      </c>
      <c r="G20" s="1327"/>
      <c r="H20" s="1328">
        <f>(H16/H19-1)</f>
        <v>0.12047048450801134</v>
      </c>
      <c r="I20" s="1329"/>
      <c r="J20" s="1326">
        <f>(J16/J19-1)</f>
        <v>-0.16690282572746096</v>
      </c>
      <c r="K20" s="1327"/>
      <c r="L20" s="1328">
        <f>(L16/L19-1)</f>
        <v>-0.10600106658744746</v>
      </c>
      <c r="M20" s="1327"/>
      <c r="N20" s="1328">
        <f>(N16/N19-1)</f>
        <v>0.60911453885645161</v>
      </c>
      <c r="O20" s="1327"/>
      <c r="P20" s="1328">
        <f>(P16/P19-1)</f>
        <v>-0.11080666944662054</v>
      </c>
      <c r="Q20" s="1327"/>
      <c r="R20" s="1328">
        <f>(R16/R19-1)</f>
        <v>7.7017051985796892E-2</v>
      </c>
      <c r="S20" s="1327"/>
      <c r="T20" s="1328">
        <f>(T16/T19-1)</f>
        <v>-0.10051180527474191</v>
      </c>
      <c r="U20" s="1329"/>
      <c r="V20" s="1326">
        <f>(V16/V19-1)</f>
        <v>-5.5230571808738693E-3</v>
      </c>
      <c r="W20" s="1327"/>
      <c r="X20" s="1328">
        <f>(X16/X19-1)</f>
        <v>3.9161647284789991E-2</v>
      </c>
      <c r="Y20" s="1327"/>
      <c r="Z20" s="1328">
        <f>(Z16/Z19-1)</f>
        <v>4.3395999547018338E-2</v>
      </c>
      <c r="AA20" s="1327"/>
      <c r="AB20" s="1328">
        <f>(AB16/AB19-1)</f>
        <v>-0.14206472326484532</v>
      </c>
      <c r="AC20" s="1327"/>
      <c r="AD20" s="1328">
        <f>(AD16/AD19-1)</f>
        <v>-0.19425080806661377</v>
      </c>
      <c r="AE20" s="1327"/>
      <c r="AF20" s="1328">
        <f>(AF16/AF19-1)</f>
        <v>7.2792900822333806E-3</v>
      </c>
      <c r="AG20" s="1327"/>
      <c r="AH20" s="1328">
        <f>(AH16/AH19-1)</f>
        <v>-0.12914402834446403</v>
      </c>
      <c r="AI20" s="1329"/>
      <c r="AJ20" s="1326">
        <f>(AJ16/AJ19-1)</f>
        <v>-2.4279343047664992E-2</v>
      </c>
      <c r="AK20" s="1329"/>
      <c r="AM20" s="1292"/>
      <c r="AU20" s="1331"/>
      <c r="AV20" s="1332"/>
    </row>
    <row r="21" spans="1:49" s="1159" customFormat="1" ht="13.5" thickBot="1" x14ac:dyDescent="0.35">
      <c r="B21" s="1314"/>
      <c r="C21" s="1314"/>
      <c r="D21" s="1320"/>
      <c r="E21" s="1320"/>
      <c r="F21" s="1320"/>
      <c r="G21" s="1320"/>
      <c r="H21" s="1333"/>
      <c r="I21" s="1333"/>
      <c r="J21" s="1333"/>
      <c r="K21" s="1333"/>
      <c r="L21" s="1318"/>
      <c r="M21" s="1318"/>
      <c r="N21" s="1333"/>
      <c r="O21" s="1333"/>
      <c r="P21" s="1334"/>
      <c r="Q21" s="1334"/>
      <c r="R21" s="1334"/>
      <c r="S21" s="1334"/>
      <c r="AB21" s="1318"/>
      <c r="AC21" s="1318"/>
      <c r="AJ21" s="1318"/>
      <c r="AK21" s="1318"/>
    </row>
    <row r="22" spans="1:49" s="1159" customFormat="1" x14ac:dyDescent="0.35">
      <c r="A22" s="1321">
        <f>'[2]Oct 20'!A19:C19</f>
        <v>45950</v>
      </c>
      <c r="B22" s="1298">
        <f>'[2]Oct 20'!D19</f>
        <v>13128176.629999999</v>
      </c>
      <c r="C22" s="1299"/>
      <c r="D22" s="1298">
        <f>'[2]Oct 20'!E19</f>
        <v>25217005.640000001</v>
      </c>
      <c r="E22" s="1299"/>
      <c r="F22" s="1298">
        <f>'[2]Oct 20'!G19</f>
        <v>10488643.460000001</v>
      </c>
      <c r="G22" s="1299"/>
      <c r="H22" s="1298">
        <f>'[2]Oct 20'!H19</f>
        <v>6757411</v>
      </c>
      <c r="I22" s="1299"/>
      <c r="J22" s="1298">
        <f>'[2]Oct 20'!K19</f>
        <v>8696673.4899999984</v>
      </c>
      <c r="K22" s="1299"/>
      <c r="L22" s="1298">
        <f>'[2]Oct 20'!M19</f>
        <v>10000815</v>
      </c>
      <c r="M22" s="1299"/>
      <c r="N22" s="1298">
        <f>'[2]Oct 20'!L19</f>
        <v>2535066.62</v>
      </c>
      <c r="O22" s="1299"/>
      <c r="P22" s="1298">
        <f>'[2]Oct 20'!N19</f>
        <v>7788514</v>
      </c>
      <c r="Q22" s="1299"/>
      <c r="R22" s="1298">
        <f>'[2]Oct 20'!O19</f>
        <v>2864929</v>
      </c>
      <c r="S22" s="1299"/>
      <c r="T22" s="1298">
        <f>'[2]Oct 20'!P19</f>
        <v>6549606.1500000004</v>
      </c>
      <c r="U22" s="1299"/>
      <c r="V22" s="1298">
        <f>'[2]Oct 20'!S19</f>
        <v>5322249.37</v>
      </c>
      <c r="W22" s="1299"/>
      <c r="X22" s="1298">
        <f>'[2]Oct 20'!T19</f>
        <v>9576050.0499999989</v>
      </c>
      <c r="Y22" s="1299"/>
      <c r="Z22" s="1298">
        <f>'[2]Oct 20'!U19</f>
        <v>7880334.6400000006</v>
      </c>
      <c r="AA22" s="1299"/>
      <c r="AB22" s="1298">
        <f>'[2]Oct 20'!V19</f>
        <v>10055479</v>
      </c>
      <c r="AC22" s="1299"/>
      <c r="AD22" s="1298">
        <f>'[2]Oct 20'!W19</f>
        <v>5461173</v>
      </c>
      <c r="AE22" s="1299"/>
      <c r="AF22" s="1298">
        <f>'[2]Oct 20'!X19</f>
        <v>4363494</v>
      </c>
      <c r="AG22" s="1299"/>
      <c r="AH22" s="1298">
        <f>'[2]Oct 20'!Y19</f>
        <v>4061076</v>
      </c>
      <c r="AI22" s="1299"/>
      <c r="AJ22" s="1322">
        <f>SUM(B22:AI22)</f>
        <v>140746697.05000001</v>
      </c>
      <c r="AK22" s="1323"/>
    </row>
    <row r="23" spans="1:49" s="1330" customFormat="1" ht="26.5" thickBot="1" x14ac:dyDescent="0.4">
      <c r="A23" s="1325" t="s">
        <v>34</v>
      </c>
      <c r="B23" s="1326">
        <f>(B16/B22-1)</f>
        <v>0.76481931824831051</v>
      </c>
      <c r="C23" s="1327"/>
      <c r="D23" s="1328">
        <f t="shared" ref="D23" si="18">(D16/D22-1)</f>
        <v>0.39286621581609782</v>
      </c>
      <c r="E23" s="1327"/>
      <c r="F23" s="1328">
        <f t="shared" ref="F23" si="19">(F16/F22-1)</f>
        <v>0.46212513262415733</v>
      </c>
      <c r="G23" s="1327"/>
      <c r="H23" s="1328">
        <f t="shared" ref="H23" si="20">(H16/H22-1)</f>
        <v>0.85281715142086223</v>
      </c>
      <c r="I23" s="1329"/>
      <c r="J23" s="1326">
        <f t="shared" ref="J23:L23" si="21">(J16/J22-1)</f>
        <v>0.29736329792921801</v>
      </c>
      <c r="K23" s="1327"/>
      <c r="L23" s="1328">
        <f t="shared" si="21"/>
        <v>0.2325362482957638</v>
      </c>
      <c r="M23" s="1327"/>
      <c r="N23" s="1328">
        <f t="shared" ref="N23" si="22">(N16/N22-1)</f>
        <v>1.0600459486149516</v>
      </c>
      <c r="O23" s="1327"/>
      <c r="P23" s="1328">
        <f t="shared" ref="P23" si="23">(P16/P22-1)</f>
        <v>0.16104833861761048</v>
      </c>
      <c r="Q23" s="1327"/>
      <c r="R23" s="1328">
        <f t="shared" ref="R23" si="24">(R16/R22-1)</f>
        <v>0.64502288887438364</v>
      </c>
      <c r="S23" s="1327"/>
      <c r="T23" s="1328">
        <f t="shared" ref="T23" si="25">(T16/T22-1)</f>
        <v>0.41316298538042617</v>
      </c>
      <c r="U23" s="1329"/>
      <c r="V23" s="1326">
        <f t="shared" ref="V23" si="26">(V16/V22-1)</f>
        <v>0.65199094382155942</v>
      </c>
      <c r="W23" s="1327"/>
      <c r="X23" s="1328">
        <f t="shared" ref="X23" si="27">(X16/X22-1)</f>
        <v>0.55001009106045795</v>
      </c>
      <c r="Y23" s="1327"/>
      <c r="Z23" s="1328">
        <f t="shared" ref="Z23" si="28">(Z16/Z22-1)</f>
        <v>0.56847668717784261</v>
      </c>
      <c r="AA23" s="1327"/>
      <c r="AB23" s="1328">
        <f>(AB16/AB22-1)</f>
        <v>0.33063765535187328</v>
      </c>
      <c r="AC23" s="1327"/>
      <c r="AD23" s="1328">
        <f t="shared" ref="AD23" si="29">(AD16/AD22-1)</f>
        <v>0.38486695074483079</v>
      </c>
      <c r="AE23" s="1327"/>
      <c r="AF23" s="1328">
        <f t="shared" ref="AF23:AH23" si="30">(AF16/AF22-1)</f>
        <v>0.51850741630445696</v>
      </c>
      <c r="AG23" s="1327"/>
      <c r="AH23" s="1328">
        <f t="shared" si="30"/>
        <v>0.57471101254938328</v>
      </c>
      <c r="AI23" s="1329"/>
      <c r="AJ23" s="1326">
        <f>(AJ16/AJ22-1)</f>
        <v>0.4774854151364254</v>
      </c>
      <c r="AK23" s="1329"/>
      <c r="AM23" s="1159"/>
    </row>
    <row r="24" spans="1:49" s="1159" customFormat="1" ht="14" x14ac:dyDescent="0.3">
      <c r="A24" s="1162"/>
      <c r="B24" s="1379"/>
      <c r="C24" s="1379"/>
      <c r="D24" s="1379"/>
      <c r="E24" s="1379"/>
      <c r="F24" s="1380"/>
      <c r="G24" s="1380"/>
      <c r="H24" s="1380"/>
      <c r="I24" s="1380"/>
      <c r="J24" s="1381"/>
      <c r="K24" s="1381"/>
      <c r="L24" s="1380"/>
      <c r="M24" s="1380"/>
      <c r="N24" s="1381"/>
      <c r="O24" s="1381"/>
      <c r="P24" s="1335"/>
      <c r="Q24" s="1335"/>
      <c r="R24" s="1335"/>
      <c r="S24" s="1335"/>
      <c r="T24" s="1162"/>
      <c r="U24" s="1162"/>
      <c r="V24" s="1268"/>
      <c r="AK24" s="1336"/>
      <c r="AU24" s="1337"/>
    </row>
    <row r="25" spans="1:49" s="1159" customFormat="1" ht="13.5" thickBot="1" x14ac:dyDescent="0.35">
      <c r="A25" s="1393"/>
      <c r="B25" s="1393"/>
      <c r="C25" s="1393"/>
      <c r="D25" s="1393"/>
      <c r="E25" s="1393"/>
      <c r="F25" s="1393"/>
      <c r="G25" s="1393"/>
      <c r="H25" s="1393"/>
      <c r="I25" s="1393"/>
      <c r="J25" s="1393"/>
      <c r="K25" s="1393"/>
      <c r="L25" s="1393"/>
      <c r="M25" s="1393"/>
      <c r="N25" s="1393"/>
      <c r="O25" s="1393"/>
      <c r="P25" s="1393"/>
      <c r="Q25" s="1393"/>
      <c r="R25" s="1374"/>
      <c r="S25" s="1374"/>
      <c r="T25" s="1394"/>
      <c r="U25" s="1394"/>
      <c r="V25" s="1394"/>
      <c r="W25" s="1394"/>
      <c r="X25" s="1394"/>
      <c r="Y25" s="1394"/>
      <c r="Z25" s="1374"/>
      <c r="AH25" s="1338"/>
      <c r="AI25" s="1338"/>
      <c r="AK25" s="1336"/>
    </row>
    <row r="26" spans="1:49" s="1159" customFormat="1" ht="18" x14ac:dyDescent="0.3">
      <c r="A26" s="1382"/>
      <c r="B26" s="1395"/>
      <c r="C26" s="1395"/>
      <c r="D26" s="1395"/>
      <c r="E26" s="1395"/>
      <c r="F26" s="1395"/>
      <c r="G26" s="1395"/>
      <c r="H26" s="1395"/>
      <c r="I26" s="1395"/>
      <c r="J26" s="1395"/>
      <c r="K26" s="1395"/>
      <c r="L26" s="1395"/>
      <c r="M26" s="1395"/>
      <c r="N26" s="1395"/>
      <c r="O26" s="1395"/>
      <c r="P26" s="1395"/>
      <c r="Q26" s="1395"/>
      <c r="R26" s="1395"/>
      <c r="S26" s="1395"/>
      <c r="T26" s="1394"/>
      <c r="U26" s="1394"/>
      <c r="V26" s="1396"/>
      <c r="W26" s="1396"/>
      <c r="X26" s="1396"/>
      <c r="Y26" s="1396"/>
      <c r="Z26" s="1383"/>
      <c r="AH26" s="1339" t="s">
        <v>145</v>
      </c>
      <c r="AI26" s="1340"/>
      <c r="AJ26" s="1341">
        <v>1687814715.0699999</v>
      </c>
      <c r="AK26" s="1342"/>
      <c r="AM26" s="1338"/>
      <c r="AV26" s="1324"/>
    </row>
    <row r="27" spans="1:49" s="1159" customFormat="1" ht="18" x14ac:dyDescent="0.3">
      <c r="A27" s="1384"/>
      <c r="B27" s="1395"/>
      <c r="C27" s="1395"/>
      <c r="D27" s="1395"/>
      <c r="E27" s="1395"/>
      <c r="F27" s="1395"/>
      <c r="G27" s="1395"/>
      <c r="H27" s="1395"/>
      <c r="I27" s="1395"/>
      <c r="J27" s="1395"/>
      <c r="K27" s="1395"/>
      <c r="L27" s="1395"/>
      <c r="M27" s="1395"/>
      <c r="N27" s="1395"/>
      <c r="O27" s="1395"/>
      <c r="P27" s="1395"/>
      <c r="Q27" s="1395"/>
      <c r="R27" s="1395"/>
      <c r="S27" s="1395"/>
      <c r="T27" s="1397"/>
      <c r="U27" s="1397"/>
      <c r="V27" s="1398"/>
      <c r="W27" s="1398"/>
      <c r="X27" s="1398"/>
      <c r="Y27" s="1398"/>
      <c r="Z27" s="1385"/>
      <c r="AA27" s="1343"/>
      <c r="AH27" s="1344" t="s">
        <v>146</v>
      </c>
      <c r="AI27" s="1345"/>
      <c r="AJ27" s="1346">
        <f>AJ16</f>
        <v>207951192.11999997</v>
      </c>
      <c r="AK27" s="1347"/>
    </row>
    <row r="28" spans="1:49" s="1159" customFormat="1" ht="20" x14ac:dyDescent="0.4">
      <c r="A28" s="1386"/>
      <c r="B28" s="1395"/>
      <c r="C28" s="1395"/>
      <c r="D28" s="1395"/>
      <c r="E28" s="1395"/>
      <c r="F28" s="1395"/>
      <c r="G28" s="1395"/>
      <c r="H28" s="1395"/>
      <c r="I28" s="1395"/>
      <c r="J28" s="1395"/>
      <c r="K28" s="1395"/>
      <c r="L28" s="1395"/>
      <c r="M28" s="1395"/>
      <c r="N28" s="1395"/>
      <c r="O28" s="1395"/>
      <c r="P28" s="1395"/>
      <c r="Q28" s="1395"/>
      <c r="R28" s="1395"/>
      <c r="S28" s="1395"/>
      <c r="T28" s="1397"/>
      <c r="U28" s="1397"/>
      <c r="V28" s="1396"/>
      <c r="W28" s="1396"/>
      <c r="X28" s="1396"/>
      <c r="Y28" s="1396"/>
      <c r="Z28" s="1374"/>
      <c r="AB28" s="1348"/>
      <c r="AC28" s="1349"/>
      <c r="AH28" s="1350" t="s">
        <v>147</v>
      </c>
      <c r="AI28" s="1351"/>
      <c r="AJ28" s="1352">
        <f>SUM(AJ26:AK27)</f>
        <v>1895765907.1899998</v>
      </c>
      <c r="AK28" s="1353"/>
      <c r="AM28" s="1354"/>
      <c r="AR28" s="1355"/>
      <c r="AS28" s="1355"/>
      <c r="AU28" s="1355"/>
      <c r="AV28" s="1355"/>
    </row>
    <row r="29" spans="1:49" s="1159" customFormat="1" ht="18.5" thickBot="1" x14ac:dyDescent="0.4">
      <c r="A29" s="1387"/>
      <c r="B29" s="1399"/>
      <c r="C29" s="1399"/>
      <c r="D29" s="1399"/>
      <c r="E29" s="1399"/>
      <c r="F29" s="1399"/>
      <c r="G29" s="1399"/>
      <c r="H29" s="1399"/>
      <c r="I29" s="1399"/>
      <c r="J29" s="1399"/>
      <c r="K29" s="1399"/>
      <c r="L29" s="1399"/>
      <c r="M29" s="1399"/>
      <c r="N29" s="1399"/>
      <c r="O29" s="1399"/>
      <c r="P29" s="1399"/>
      <c r="Q29" s="1399"/>
      <c r="R29" s="1399"/>
      <c r="S29" s="1399"/>
      <c r="T29" s="1397"/>
      <c r="U29" s="1397"/>
      <c r="V29" s="1400"/>
      <c r="W29" s="1400"/>
      <c r="X29" s="1400"/>
      <c r="Y29" s="1400"/>
      <c r="Z29" s="1374"/>
      <c r="AC29" s="1356"/>
      <c r="AD29" s="1357"/>
      <c r="AH29" s="1358" t="s">
        <v>149</v>
      </c>
      <c r="AI29" s="1359"/>
      <c r="AJ29" s="1360">
        <v>2070000000</v>
      </c>
      <c r="AK29" s="1361"/>
      <c r="AR29" s="1362"/>
      <c r="AS29" s="1355"/>
      <c r="AT29" s="1362"/>
      <c r="AU29" s="1362"/>
      <c r="AV29" s="1355"/>
      <c r="AW29" s="1362"/>
    </row>
    <row r="30" spans="1:49" s="1159" customFormat="1" ht="15.5" x14ac:dyDescent="0.35">
      <c r="A30" s="1374"/>
      <c r="B30" s="1374"/>
      <c r="C30" s="1388"/>
      <c r="D30" s="1388"/>
      <c r="E30" s="1389"/>
      <c r="F30" s="1375"/>
      <c r="G30" s="1375"/>
      <c r="H30" s="1375"/>
      <c r="I30" s="1376"/>
      <c r="J30" s="1374"/>
      <c r="K30" s="1374"/>
      <c r="L30" s="1374"/>
      <c r="M30" s="1374"/>
      <c r="N30" s="1374"/>
      <c r="O30" s="1374"/>
      <c r="P30" s="1374"/>
      <c r="Q30" s="1374"/>
      <c r="R30" s="1377"/>
      <c r="S30" s="1377"/>
      <c r="T30" s="1397"/>
      <c r="U30" s="1397"/>
      <c r="V30" s="1401"/>
      <c r="W30" s="1401"/>
      <c r="X30" s="1401"/>
      <c r="Y30" s="1401"/>
      <c r="Z30" s="1374"/>
      <c r="AC30" s="1363"/>
      <c r="AD30" s="1364"/>
      <c r="AF30" s="1365"/>
      <c r="AG30" s="1365"/>
      <c r="AH30" s="1366"/>
      <c r="AI30" s="1366"/>
      <c r="AK30" s="1367"/>
    </row>
    <row r="31" spans="1:49" s="1159" customFormat="1" x14ac:dyDescent="0.35">
      <c r="A31" s="1374"/>
      <c r="B31" s="1374"/>
      <c r="C31" s="1374"/>
      <c r="D31" s="1388"/>
      <c r="E31" s="1388"/>
      <c r="F31" s="1374"/>
      <c r="G31" s="1374"/>
      <c r="H31" s="1374"/>
      <c r="I31" s="1374"/>
      <c r="J31" s="1374"/>
      <c r="K31" s="1374"/>
      <c r="L31" s="1374"/>
      <c r="M31" s="1374"/>
      <c r="N31" s="1374"/>
      <c r="O31" s="1374"/>
      <c r="P31" s="1390"/>
      <c r="Q31" s="1374"/>
      <c r="R31" s="1377"/>
      <c r="S31" s="1377"/>
      <c r="T31" s="1397"/>
      <c r="U31" s="1397"/>
      <c r="V31" s="1401"/>
      <c r="W31" s="1401"/>
      <c r="X31" s="1401"/>
      <c r="Y31" s="1401"/>
      <c r="Z31" s="1374"/>
      <c r="AC31" s="1268"/>
      <c r="AF31" s="1343"/>
      <c r="AH31" s="1368"/>
      <c r="AI31" s="1369"/>
      <c r="AK31" s="1336"/>
    </row>
    <row r="32" spans="1:49" s="1159" customFormat="1" x14ac:dyDescent="0.35">
      <c r="A32" s="1374"/>
      <c r="B32" s="1374"/>
      <c r="C32" s="1374"/>
      <c r="D32" s="1388"/>
      <c r="E32" s="1388"/>
      <c r="F32" s="1374"/>
      <c r="G32" s="1374"/>
      <c r="H32" s="1374"/>
      <c r="I32" s="1374"/>
      <c r="J32" s="1374"/>
      <c r="K32" s="1374"/>
      <c r="L32" s="1374"/>
      <c r="M32" s="1374"/>
      <c r="N32" s="1374"/>
      <c r="O32" s="1374"/>
      <c r="P32" s="1374"/>
      <c r="Q32" s="1374"/>
      <c r="R32" s="1378"/>
      <c r="S32" s="1378"/>
      <c r="T32" s="1397"/>
      <c r="U32" s="1397"/>
      <c r="V32" s="1402"/>
      <c r="W32" s="1402"/>
      <c r="X32" s="1402"/>
      <c r="Y32" s="1402"/>
      <c r="Z32" s="1391"/>
      <c r="AA32" s="1338"/>
      <c r="AC32" s="1268"/>
      <c r="AE32" s="1363" t="s">
        <v>148</v>
      </c>
      <c r="AF32" s="1370"/>
      <c r="AH32" s="1371"/>
      <c r="AI32" s="1371"/>
    </row>
    <row r="33" spans="1:37" s="1159" customFormat="1" x14ac:dyDescent="0.35">
      <c r="A33" s="1374"/>
      <c r="B33" s="1374"/>
      <c r="C33" s="1374"/>
      <c r="D33" s="1374"/>
      <c r="E33" s="1374"/>
      <c r="F33" s="1374"/>
      <c r="G33" s="1374"/>
      <c r="H33" s="1374"/>
      <c r="I33" s="1374"/>
      <c r="J33" s="1374"/>
      <c r="K33" s="1374"/>
      <c r="L33" s="1374"/>
      <c r="M33" s="1374"/>
      <c r="N33" s="1374"/>
      <c r="O33" s="1374"/>
      <c r="P33" s="1374"/>
      <c r="Q33" s="1374"/>
      <c r="R33" s="1374"/>
      <c r="S33" s="1374"/>
      <c r="T33" s="1394"/>
      <c r="U33" s="1394"/>
      <c r="V33" s="1400"/>
      <c r="W33" s="1400"/>
      <c r="X33" s="1400"/>
      <c r="Y33" s="1400"/>
      <c r="Z33" s="1392"/>
      <c r="AA33" s="1268"/>
      <c r="AC33" s="1268"/>
      <c r="AH33" s="1343"/>
      <c r="AI33" s="1372"/>
      <c r="AK33" s="1338"/>
    </row>
    <row r="34" spans="1:37" s="1159" customFormat="1" ht="15.5" x14ac:dyDescent="0.35">
      <c r="T34" s="1162"/>
      <c r="U34" s="1373"/>
      <c r="V34" s="1355"/>
      <c r="W34" s="1268"/>
      <c r="Y34" s="1268"/>
      <c r="AC34" s="1268"/>
    </row>
  </sheetData>
  <mergeCells count="207">
    <mergeCell ref="AH29:AI29"/>
    <mergeCell ref="AJ29:AK29"/>
    <mergeCell ref="AH28:AI28"/>
    <mergeCell ref="AJ28:AK28"/>
    <mergeCell ref="AJ26:AK26"/>
    <mergeCell ref="AH27:AI27"/>
    <mergeCell ref="AJ27:AK27"/>
    <mergeCell ref="AJ23:AK23"/>
    <mergeCell ref="AH26:AI26"/>
    <mergeCell ref="X23:Y23"/>
    <mergeCell ref="Z23:AA23"/>
    <mergeCell ref="AB23:AC23"/>
    <mergeCell ref="AD23:AE23"/>
    <mergeCell ref="AF23:AG23"/>
    <mergeCell ref="AH23:AI23"/>
    <mergeCell ref="L23:M23"/>
    <mergeCell ref="N23:O23"/>
    <mergeCell ref="P23:Q23"/>
    <mergeCell ref="R23:S23"/>
    <mergeCell ref="T23:U23"/>
    <mergeCell ref="V23:W23"/>
    <mergeCell ref="AB22:AC22"/>
    <mergeCell ref="AD22:AE22"/>
    <mergeCell ref="AF22:AG22"/>
    <mergeCell ref="AH22:AI22"/>
    <mergeCell ref="AJ22:AK22"/>
    <mergeCell ref="B23:C23"/>
    <mergeCell ref="D23:E23"/>
    <mergeCell ref="F23:G23"/>
    <mergeCell ref="H23:I23"/>
    <mergeCell ref="J23:K23"/>
    <mergeCell ref="P22:Q22"/>
    <mergeCell ref="R22:S22"/>
    <mergeCell ref="T22:U22"/>
    <mergeCell ref="V22:W22"/>
    <mergeCell ref="X22:Y22"/>
    <mergeCell ref="Z22:AA22"/>
    <mergeCell ref="AF20:AG20"/>
    <mergeCell ref="AH20:AI20"/>
    <mergeCell ref="AJ20:AK20"/>
    <mergeCell ref="B22:C22"/>
    <mergeCell ref="D22:E22"/>
    <mergeCell ref="F22:G22"/>
    <mergeCell ref="H22:I22"/>
    <mergeCell ref="J22:K22"/>
    <mergeCell ref="L22:M22"/>
    <mergeCell ref="N22:O22"/>
    <mergeCell ref="T20:U20"/>
    <mergeCell ref="V20:W20"/>
    <mergeCell ref="X20:Y20"/>
    <mergeCell ref="Z20:AA20"/>
    <mergeCell ref="AB20:AC20"/>
    <mergeCell ref="AD20:AE20"/>
    <mergeCell ref="AJ19:AK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X19:Y19"/>
    <mergeCell ref="Z19:AA19"/>
    <mergeCell ref="AB19:AC19"/>
    <mergeCell ref="AD19:AE19"/>
    <mergeCell ref="AF19:AG19"/>
    <mergeCell ref="AH19:AI19"/>
    <mergeCell ref="L19:M19"/>
    <mergeCell ref="N19:O19"/>
    <mergeCell ref="P19:Q19"/>
    <mergeCell ref="R19:S19"/>
    <mergeCell ref="T19:U19"/>
    <mergeCell ref="V19:W19"/>
    <mergeCell ref="D17:E17"/>
    <mergeCell ref="B19:C19"/>
    <mergeCell ref="D19:E19"/>
    <mergeCell ref="F19:G19"/>
    <mergeCell ref="H19:I19"/>
    <mergeCell ref="J19:K19"/>
    <mergeCell ref="Z16:AA16"/>
    <mergeCell ref="AB16:AC16"/>
    <mergeCell ref="AD16:AE16"/>
    <mergeCell ref="AF16:AG16"/>
    <mergeCell ref="AH16:AI16"/>
    <mergeCell ref="AJ16:AK16"/>
    <mergeCell ref="N16:O16"/>
    <mergeCell ref="P16:Q16"/>
    <mergeCell ref="R16:S16"/>
    <mergeCell ref="T16:U16"/>
    <mergeCell ref="V16:W16"/>
    <mergeCell ref="X16:Y16"/>
    <mergeCell ref="B16:C16"/>
    <mergeCell ref="D16:E16"/>
    <mergeCell ref="F16:G16"/>
    <mergeCell ref="H16:I16"/>
    <mergeCell ref="J16:K16"/>
    <mergeCell ref="L16:M16"/>
    <mergeCell ref="Z15:AA15"/>
    <mergeCell ref="AB15:AC15"/>
    <mergeCell ref="AD15:AE15"/>
    <mergeCell ref="AF15:AG15"/>
    <mergeCell ref="AH15:AI15"/>
    <mergeCell ref="AJ15:AK15"/>
    <mergeCell ref="N15:O15"/>
    <mergeCell ref="P15:Q15"/>
    <mergeCell ref="R15:S15"/>
    <mergeCell ref="T15:U15"/>
    <mergeCell ref="V15:W15"/>
    <mergeCell ref="X15:Y15"/>
    <mergeCell ref="B15:C15"/>
    <mergeCell ref="D15:E15"/>
    <mergeCell ref="F15:G15"/>
    <mergeCell ref="H15:I15"/>
    <mergeCell ref="J15:K15"/>
    <mergeCell ref="L15:M15"/>
    <mergeCell ref="Z14:AA14"/>
    <mergeCell ref="AB14:AC14"/>
    <mergeCell ref="AD14:AE14"/>
    <mergeCell ref="AF14:AG14"/>
    <mergeCell ref="AH14:AI14"/>
    <mergeCell ref="AJ14:AK14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Z13:AA13"/>
    <mergeCell ref="AB13:AC13"/>
    <mergeCell ref="AD13:AE13"/>
    <mergeCell ref="AF13:AG13"/>
    <mergeCell ref="AH13:AI13"/>
    <mergeCell ref="AJ13:AK13"/>
    <mergeCell ref="N13:O13"/>
    <mergeCell ref="P13:Q13"/>
    <mergeCell ref="R13:S13"/>
    <mergeCell ref="T13:U13"/>
    <mergeCell ref="V13:W13"/>
    <mergeCell ref="X13:Y13"/>
    <mergeCell ref="B13:C13"/>
    <mergeCell ref="D13:E13"/>
    <mergeCell ref="F13:G13"/>
    <mergeCell ref="H13:I13"/>
    <mergeCell ref="J13:K13"/>
    <mergeCell ref="L13:M13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Z11:AA11"/>
    <mergeCell ref="AB11:AC11"/>
    <mergeCell ref="AD11:AE11"/>
    <mergeCell ref="AF11:AG11"/>
    <mergeCell ref="AH11:AI11"/>
    <mergeCell ref="AJ11:AK11"/>
    <mergeCell ref="N11:O11"/>
    <mergeCell ref="P11:Q11"/>
    <mergeCell ref="R11:S11"/>
    <mergeCell ref="T11:U11"/>
    <mergeCell ref="V11:W11"/>
    <mergeCell ref="X11:Y11"/>
    <mergeCell ref="B11:C11"/>
    <mergeCell ref="D11:E11"/>
    <mergeCell ref="F11:G11"/>
    <mergeCell ref="H11:I11"/>
    <mergeCell ref="J11:K11"/>
    <mergeCell ref="L11:M11"/>
    <mergeCell ref="Z5:AA5"/>
    <mergeCell ref="AB5:AC5"/>
    <mergeCell ref="AD5:AE5"/>
    <mergeCell ref="AF5:AG5"/>
    <mergeCell ref="AH5:AI5"/>
    <mergeCell ref="AJ5:AK5"/>
    <mergeCell ref="N5:O5"/>
    <mergeCell ref="P5:Q5"/>
    <mergeCell ref="R5:S5"/>
    <mergeCell ref="T5:U5"/>
    <mergeCell ref="V5:W5"/>
    <mergeCell ref="X5:Y5"/>
    <mergeCell ref="B5:C5"/>
    <mergeCell ref="D5:E5"/>
    <mergeCell ref="F5:G5"/>
    <mergeCell ref="H5:I5"/>
    <mergeCell ref="J5:K5"/>
    <mergeCell ref="L5:M5"/>
  </mergeCells>
  <conditionalFormatting sqref="B20:AK20 B17 D17:AI17">
    <cfRule type="cellIs" dxfId="1" priority="3" stopIfTrue="1" operator="lessThan">
      <formula>0</formula>
    </cfRule>
    <cfRule type="colorScale" priority="4">
      <colorScale>
        <cfvo type="num" val="&quot;&lt;0&quot;"/>
        <cfvo type="num" val="&quot;&gt;0&quot;"/>
        <color rgb="FFFF0000"/>
        <color rgb="FF92D050"/>
      </colorScale>
    </cfRule>
  </conditionalFormatting>
  <conditionalFormatting sqref="B23:AK23">
    <cfRule type="cellIs" dxfId="0" priority="1" stopIfTrue="1" operator="lessThan">
      <formula>0</formula>
    </cfRule>
    <cfRule type="colorScale" priority="2">
      <colorScale>
        <cfvo type="num" val="&quot;&lt;0&quot;"/>
        <cfvo type="num" val="&quot;&gt;0&quot;"/>
        <color rgb="FFFF0000"/>
        <color rgb="FF92D05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Nippon</dc:creator>
  <cp:lastModifiedBy>Nippon</cp:lastModifiedBy>
  <dcterms:created xsi:type="dcterms:W3CDTF">2026-10-23T07:27:12Z</dcterms:created>
  <dcterms:modified xsi:type="dcterms:W3CDTF">2026-10-23T07:30:13Z</dcterms:modified>
</cp:coreProperties>
</file>